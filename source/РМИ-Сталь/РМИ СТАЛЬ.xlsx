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chaeva_yui\Desktop\"/>
    </mc:Choice>
  </mc:AlternateContent>
  <xr:revisionPtr revIDLastSave="0" documentId="13_ncr:1_{11B52301-0676-402E-BDD1-BD77618FFFA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Извещение" sheetId="2" r:id="rId1"/>
    <sheet name="Приложение№1" sheetId="6" r:id="rId2"/>
    <sheet name="страх риски" sheetId="9" state="hidden" r:id="rId3"/>
    <sheet name="справочно" sheetId="7" state="hidden" r:id="rId4"/>
  </sheets>
  <definedNames>
    <definedName name="_ftn1" localSheetId="0">Извещение!$C$40</definedName>
    <definedName name="_ftnref1" localSheetId="0">Извещение!#REF!</definedName>
    <definedName name="_Toc133229008" localSheetId="0">Извещение!$C$39</definedName>
    <definedName name="_Toc133229009" localSheetId="0">Извещение!#REF!</definedName>
    <definedName name="_Toc133229012" localSheetId="0">Извещение!#REF!</definedName>
    <definedName name="_xlnm._FilterDatabase" localSheetId="0" hidden="1">Извещение!$A$19:$C$43</definedName>
    <definedName name="_xlnm._FilterDatabase" localSheetId="1" hidden="1">Приложение№1!$A$1:$B$107</definedName>
    <definedName name="_xlnm._FilterDatabase" localSheetId="3" hidden="1">справочно!$A$3:$AJ$93</definedName>
    <definedName name="_xlnm.Print_Titles" localSheetId="0">Извещение!$18:$19</definedName>
    <definedName name="_xlnm.Print_Area" localSheetId="0">Извещение!$A:$E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6" l="1"/>
  <c r="I10" i="6"/>
  <c r="I9" i="6"/>
  <c r="I8" i="6"/>
  <c r="I7" i="6"/>
  <c r="I6" i="6"/>
  <c r="I5" i="6"/>
  <c r="I4" i="6"/>
  <c r="I3" i="6"/>
  <c r="B104" i="6" l="1"/>
  <c r="B10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Куценко Елена Александровна</author>
  </authors>
  <commentList>
    <comment ref="A31" authorId="0" shapeId="0" xr:uid="{33097A10-B74B-454C-9116-28812EF24097}">
      <text>
        <r>
          <rPr>
            <b/>
            <sz val="9"/>
            <color indexed="81"/>
            <rFont val="Tahoma"/>
            <family val="2"/>
            <charset val="204"/>
          </rPr>
          <t>Куценко Елена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 (ЭЛКАП)
</t>
        </r>
      </text>
    </comment>
    <comment ref="D36" authorId="0" shapeId="0" xr:uid="{A44C529B-FC29-4B4F-97B5-F5BA1E8BA7D4}">
      <text>
        <r>
          <rPr>
            <b/>
            <sz val="9"/>
            <color indexed="81"/>
            <rFont val="Tahoma"/>
            <family val="2"/>
            <charset val="204"/>
          </rPr>
          <t>Куценко Елена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все данные от Чернышовой Натальи Валерьевны</t>
        </r>
      </text>
    </comment>
    <comment ref="D45" authorId="0" shapeId="0" xr:uid="{BBDBF4D4-58D6-419F-8C37-2483D69FA470}">
      <text>
        <r>
          <rPr>
            <b/>
            <sz val="9"/>
            <color indexed="81"/>
            <rFont val="Tahoma"/>
            <family val="2"/>
            <charset val="204"/>
          </rPr>
          <t xml:space="preserve">Куценко Елена Александровна
</t>
        </r>
        <r>
          <rPr>
            <sz val="9"/>
            <color indexed="81"/>
            <rFont val="Tahoma"/>
            <family val="2"/>
            <charset val="204"/>
          </rPr>
          <t>только РЭМКАБ, в 2024 г. не были застрахованы, т.к. мастера-приёмщики МВМ и РЭМ не страховались по указанию директора.</t>
        </r>
      </text>
    </comment>
    <comment ref="D53" authorId="0" shapeId="0" xr:uid="{B312366B-4947-487A-A24F-159A805DF6A0}">
      <text>
        <r>
          <rPr>
            <b/>
            <sz val="9"/>
            <color indexed="81"/>
            <rFont val="Tahoma"/>
            <family val="2"/>
            <charset val="204"/>
          </rPr>
          <t xml:space="preserve">Куценко Елена Александровна:
</t>
        </r>
        <r>
          <rPr>
            <sz val="9"/>
            <color indexed="81"/>
            <rFont val="Tahoma"/>
            <family val="2"/>
            <charset val="204"/>
          </rPr>
          <t>застрахованные сотрудники на 04.09.2024 по данным РГС</t>
        </r>
      </text>
    </comment>
    <comment ref="A69" authorId="0" shapeId="0" xr:uid="{D63646D2-A5D8-426B-B01A-66847CAF1EB8}">
      <text>
        <r>
          <rPr>
            <b/>
            <sz val="9"/>
            <color indexed="81"/>
            <rFont val="Tahoma"/>
            <family val="2"/>
            <charset val="204"/>
          </rPr>
          <t>Куценко Елена Александровна:</t>
        </r>
        <r>
          <rPr>
            <sz val="9"/>
            <color indexed="81"/>
            <rFont val="Tahoma"/>
            <family val="2"/>
            <charset val="204"/>
          </rPr>
          <t xml:space="preserve">
 (макс эндтрейд )</t>
        </r>
      </text>
    </comment>
  </commentList>
</comments>
</file>

<file path=xl/sharedStrings.xml><?xml version="1.0" encoding="utf-8"?>
<sst xmlns="http://schemas.openxmlformats.org/spreadsheetml/2006/main" count="357" uniqueCount="306">
  <si>
    <t>№ ПП</t>
  </si>
  <si>
    <t>Наименование раздела</t>
  </si>
  <si>
    <t>Заполняет участник тендера</t>
  </si>
  <si>
    <t>Требование
(описание потребности, ключевые параметры, уточнения)</t>
  </si>
  <si>
    <t>Руководитель предприятия-участника тендера</t>
  </si>
  <si>
    <t>(Дата)</t>
  </si>
  <si>
    <t>(ФИО)</t>
  </si>
  <si>
    <t>Техническое задание</t>
  </si>
  <si>
    <t>4.</t>
  </si>
  <si>
    <t>1.</t>
  </si>
  <si>
    <t>Условия оплаты</t>
  </si>
  <si>
    <t>Жигулевск</t>
  </si>
  <si>
    <t>Тольятти</t>
  </si>
  <si>
    <t>Лот1</t>
  </si>
  <si>
    <t>Хабаровск</t>
  </si>
  <si>
    <t>ГЗОЦМ</t>
  </si>
  <si>
    <t>До 40 лет</t>
  </si>
  <si>
    <t>женщины</t>
  </si>
  <si>
    <t>мужчины</t>
  </si>
  <si>
    <t>ИТР</t>
  </si>
  <si>
    <t>СЭЩ</t>
  </si>
  <si>
    <t>Красноярск</t>
  </si>
  <si>
    <t>Итого:</t>
  </si>
  <si>
    <t>Отчет ГК АКРОН-ХОЛДИНГ для ДМС2025 согласно Регламентированным базам учёта.</t>
  </si>
  <si>
    <t>НА 02.09.2024</t>
  </si>
  <si>
    <t>Мужской</t>
  </si>
  <si>
    <t>Основные рабочие</t>
  </si>
  <si>
    <t>Руководители</t>
  </si>
  <si>
    <t>исключены внешние и внутренние совместители, а также мобилизованные сотрудники</t>
  </si>
  <si>
    <t>Женский</t>
  </si>
  <si>
    <t>После 40 лет включительно</t>
  </si>
  <si>
    <t>Вспомогательные рабочие</t>
  </si>
  <si>
    <t>Специалисты</t>
  </si>
  <si>
    <t>Наименование организации</t>
  </si>
  <si>
    <t>Краткое наименование организации</t>
  </si>
  <si>
    <t>Фактически застрахованные на конец
 II кв. 2024</t>
  </si>
  <si>
    <t>Плановая численность для ДМС 2025 на 02.09.2024</t>
  </si>
  <si>
    <t>МУЖЧИН, чел</t>
  </si>
  <si>
    <t>ЖЕНЩИН, чел</t>
  </si>
  <si>
    <t>до 30 лет</t>
  </si>
  <si>
    <t>31-40 лет</t>
  </si>
  <si>
    <t>41-50 лет</t>
  </si>
  <si>
    <t>51-60 лет</t>
  </si>
  <si>
    <t>более 61 года</t>
  </si>
  <si>
    <t xml:space="preserve">отклонения
 факт-план </t>
  </si>
  <si>
    <t>проверка</t>
  </si>
  <si>
    <t>РАБОЧИЕ</t>
  </si>
  <si>
    <t>Ломозаготовительный дивизион</t>
  </si>
  <si>
    <t>ЛЗД</t>
  </si>
  <si>
    <t>ВАП Некрасовка\Москва</t>
  </si>
  <si>
    <t>ВАП ЧМ</t>
  </si>
  <si>
    <t>Акрон Скрап Урал\Урал</t>
  </si>
  <si>
    <t>ЕКТ</t>
  </si>
  <si>
    <t>Акрон Скрап Самара\Самара</t>
  </si>
  <si>
    <t>КММ</t>
  </si>
  <si>
    <t>Киргизия</t>
  </si>
  <si>
    <t>КРЗ</t>
  </si>
  <si>
    <t>КРК</t>
  </si>
  <si>
    <t>Акрон Скрап Москва\Бронницы</t>
  </si>
  <si>
    <t>МВМ</t>
  </si>
  <si>
    <t>Акрон Скрап Южный Урал\Оренбург+Бузулук+ Уфа</t>
  </si>
  <si>
    <t>ММ</t>
  </si>
  <si>
    <t>Акрон Скрап Нижний Новгород\Казань</t>
  </si>
  <si>
    <t>НМС</t>
  </si>
  <si>
    <t>Акрон Скрап Новосибирск\Новосибирск</t>
  </si>
  <si>
    <t>НСК</t>
  </si>
  <si>
    <t>Новые территории</t>
  </si>
  <si>
    <t>НТР</t>
  </si>
  <si>
    <t>Тосна\Отрадный</t>
  </si>
  <si>
    <t>ОТК</t>
  </si>
  <si>
    <t>Акрон Скрап Центр\Подольск</t>
  </si>
  <si>
    <t>ПМК</t>
  </si>
  <si>
    <t>Петромакс\Лобня</t>
  </si>
  <si>
    <t>ПТМ</t>
  </si>
  <si>
    <t>Акрон Скрап Ростов\Ростов-на-Дону, Батайск</t>
  </si>
  <si>
    <t>РМ ЦМ</t>
  </si>
  <si>
    <t>Акрон Скрап Северозапад\Санкт-Петербург</t>
  </si>
  <si>
    <t>СПБ ЦМ</t>
  </si>
  <si>
    <t>АкронМеталлРесурс\Тольятти</t>
  </si>
  <si>
    <t>ТАРГ</t>
  </si>
  <si>
    <t>Глобал Металл\Тольятти, Саратов, Ульяновск, Сургут</t>
  </si>
  <si>
    <t>ТЦ</t>
  </si>
  <si>
    <t>ХБР</t>
  </si>
  <si>
    <t>Экоутилизация\Казань</t>
  </si>
  <si>
    <t>ЭУТ</t>
  </si>
  <si>
    <t>ИТОГО Ломозаготовительный дивизион</t>
  </si>
  <si>
    <t>Кабельный дивизион</t>
  </si>
  <si>
    <t>КабД</t>
  </si>
  <si>
    <t>Агрокабель\Санкт-Питербург</t>
  </si>
  <si>
    <t>АГК</t>
  </si>
  <si>
    <t>Балткабель\Сосновый Бор</t>
  </si>
  <si>
    <t>БЛК</t>
  </si>
  <si>
    <t>Микропровод\Подольск</t>
  </si>
  <si>
    <t>МКП</t>
  </si>
  <si>
    <t>Инкатех\Нефтегорск</t>
  </si>
  <si>
    <t>НКТ</t>
  </si>
  <si>
    <t>Псковкабель\Псков</t>
  </si>
  <si>
    <t>ПКЗ</t>
  </si>
  <si>
    <t>РК-Нефтесервис\Сургут</t>
  </si>
  <si>
    <t>РКН</t>
  </si>
  <si>
    <t>СКТ Групп\Псков</t>
  </si>
  <si>
    <t>СКТ</t>
  </si>
  <si>
    <t xml:space="preserve">ПодольскКабель    </t>
  </si>
  <si>
    <t>ПДК</t>
  </si>
  <si>
    <t>ИТОГО Кабельный дивизион</t>
  </si>
  <si>
    <t xml:space="preserve">Производственный (металлургический) дивизион </t>
  </si>
  <si>
    <t>Пр(Мет)Д</t>
  </si>
  <si>
    <t>ОП АВРОРА</t>
  </si>
  <si>
    <t>Автокомпоненты\Жигулевск</t>
  </si>
  <si>
    <t>АК</t>
  </si>
  <si>
    <t>Брасско-Пластик\Оренбург</t>
  </si>
  <si>
    <t>БРС</t>
  </si>
  <si>
    <t>Муж</t>
  </si>
  <si>
    <t>Альфа Групп\Машково</t>
  </si>
  <si>
    <t>ВАП ЦМ</t>
  </si>
  <si>
    <t>Жеж</t>
  </si>
  <si>
    <t>ГЗЦОМ\Гай</t>
  </si>
  <si>
    <t>Сталькрон \ Мценск</t>
  </si>
  <si>
    <t>МЦН</t>
  </si>
  <si>
    <t>НМТ\Кольчугино</t>
  </si>
  <si>
    <t>НМТ</t>
  </si>
  <si>
    <t>Росметсплав\Ростов-на-Дону</t>
  </si>
  <si>
    <t>РМС</t>
  </si>
  <si>
    <t>РусКат\Тольятти</t>
  </si>
  <si>
    <t>РСК</t>
  </si>
  <si>
    <t>РЭМ\Орехово-Зуево</t>
  </si>
  <si>
    <t>РЭМ</t>
  </si>
  <si>
    <t>ТНТ</t>
  </si>
  <si>
    <t>Фосфохим\Тольятти</t>
  </si>
  <si>
    <t>ФФХ</t>
  </si>
  <si>
    <t>ЭкоРусМеталл</t>
  </si>
  <si>
    <t>ЭРМ</t>
  </si>
  <si>
    <t>Энерготехмаш\Жигулёвск</t>
  </si>
  <si>
    <t>ЭТМ</t>
  </si>
  <si>
    <t xml:space="preserve">ИТОГО Производственный (металлургический) дивизион </t>
  </si>
  <si>
    <t xml:space="preserve">Электротехниеский дивизион </t>
  </si>
  <si>
    <t>ЭлТД</t>
  </si>
  <si>
    <t>Энерготехнология</t>
  </si>
  <si>
    <t>ЭНТ</t>
  </si>
  <si>
    <t>муж</t>
  </si>
  <si>
    <t>Инвертор</t>
  </si>
  <si>
    <t>ИВР</t>
  </si>
  <si>
    <t>Электрощит\Самара</t>
  </si>
  <si>
    <t xml:space="preserve">ИТОГО Электротехниеский дивизион </t>
  </si>
  <si>
    <t xml:space="preserve"> Нефтесервисный дивизион </t>
  </si>
  <si>
    <t>НфСД</t>
  </si>
  <si>
    <t>Алмаз\Радужный</t>
  </si>
  <si>
    <t>АЛЗ</t>
  </si>
  <si>
    <t xml:space="preserve">ПК Алмаз            </t>
  </si>
  <si>
    <t>ПК АЛЗ</t>
  </si>
  <si>
    <t>Труба (Ярославль)     профинтех</t>
  </si>
  <si>
    <t>ПФТ</t>
  </si>
  <si>
    <t>СКТ- Сервис</t>
  </si>
  <si>
    <t>СКС</t>
  </si>
  <si>
    <t xml:space="preserve">ИТОГО Нефтесервисный дивизион </t>
  </si>
  <si>
    <t xml:space="preserve"> Трейдинговый дивизион </t>
  </si>
  <si>
    <t>ТрД</t>
  </si>
  <si>
    <t>Акрон Электро</t>
  </si>
  <si>
    <t>АКЛ</t>
  </si>
  <si>
    <t>Акрон Глобал\Тольятти</t>
  </si>
  <si>
    <t>ВЭД</t>
  </si>
  <si>
    <t>НРЖ + СПб склад\Тольятти, Санкт-Петербург</t>
  </si>
  <si>
    <t>НРЖ</t>
  </si>
  <si>
    <t>Взаимодействие с гос.корпорациями</t>
  </si>
  <si>
    <t xml:space="preserve">ИТОГО Трейдинговый дивизион </t>
  </si>
  <si>
    <t xml:space="preserve"> Логистический дивизион </t>
  </si>
  <si>
    <t>ЛогД</t>
  </si>
  <si>
    <t>АМР-Спецтехника\Москва</t>
  </si>
  <si>
    <t>МИТ</t>
  </si>
  <si>
    <t>ППЖТ\Санкт-Петербург</t>
  </si>
  <si>
    <t>ПЖДТ</t>
  </si>
  <si>
    <t>Международные грузовые перевозки\Тольятти</t>
  </si>
  <si>
    <t>ТТН</t>
  </si>
  <si>
    <t xml:space="preserve">ИТОГО Логистический дивизион </t>
  </si>
  <si>
    <t xml:space="preserve">MRV-holding </t>
  </si>
  <si>
    <t>MRVД</t>
  </si>
  <si>
    <t>Мюзле\Италия</t>
  </si>
  <si>
    <t>МЗЛ</t>
  </si>
  <si>
    <t>Объединенные Арабские Эмираты</t>
  </si>
  <si>
    <t>ОАЭ</t>
  </si>
  <si>
    <t>Able trade</t>
  </si>
  <si>
    <t xml:space="preserve">ИТОГО MRV-holding </t>
  </si>
  <si>
    <t xml:space="preserve">Спортивный дивизион </t>
  </si>
  <si>
    <t>СпортД</t>
  </si>
  <si>
    <t>Академия Футбола им.Коноплева\Тольятти</t>
  </si>
  <si>
    <t>АКД</t>
  </si>
  <si>
    <t>Детская футбольная школа Акрон\Тольятти</t>
  </si>
  <si>
    <t>ДФК</t>
  </si>
  <si>
    <t>ФК Акрон Кристалл\Тольятти, Жигулевск</t>
  </si>
  <si>
    <t>ФК</t>
  </si>
  <si>
    <t>ФК Акрон 2</t>
  </si>
  <si>
    <t>ФК 2</t>
  </si>
  <si>
    <t xml:space="preserve">ИТОГО Спортивный дивизион </t>
  </si>
  <si>
    <t xml:space="preserve">Управляющая компания </t>
  </si>
  <si>
    <t>УК</t>
  </si>
  <si>
    <t>Акрон Персонал</t>
  </si>
  <si>
    <t>ЕЦО</t>
  </si>
  <si>
    <t>Команда IT\Тольятти</t>
  </si>
  <si>
    <t>КИТ</t>
  </si>
  <si>
    <t>КСН\Тольятти</t>
  </si>
  <si>
    <t>КСН</t>
  </si>
  <si>
    <t>Акрон Лизинг</t>
  </si>
  <si>
    <t>ЛКА</t>
  </si>
  <si>
    <t>РМИ-Сталь\Тольятти</t>
  </si>
  <si>
    <t>РМИ</t>
  </si>
  <si>
    <t>ЦОБ\Тольятти</t>
  </si>
  <si>
    <t>ЦОБ</t>
  </si>
  <si>
    <t xml:space="preserve">ИТОГО Управляющая компания </t>
  </si>
  <si>
    <t>ВСЕГО по ГК АКРОН-ХОЛДИНГ</t>
  </si>
  <si>
    <t>итого</t>
  </si>
  <si>
    <t>без МИТ и МЦН</t>
  </si>
  <si>
    <t>Транскат\Сланцы</t>
  </si>
  <si>
    <t>82/ 0.50%</t>
  </si>
  <si>
    <t>849/ 5.25%</t>
  </si>
  <si>
    <t>458/ 2.83%</t>
  </si>
  <si>
    <t>121/ 0.74%</t>
  </si>
  <si>
    <t>4079/ 25.2%</t>
  </si>
  <si>
    <t>10579/ 65,3</t>
  </si>
  <si>
    <t>всего</t>
  </si>
  <si>
    <t xml:space="preserve">Помощь на всей территории РФ </t>
  </si>
  <si>
    <t>Телемедицина</t>
  </si>
  <si>
    <t>Помощь на дому/СМП</t>
  </si>
  <si>
    <t>Стационар</t>
  </si>
  <si>
    <t>Стоматология</t>
  </si>
  <si>
    <t>Амбулаторно-поликлиническая помощь</t>
  </si>
  <si>
    <t xml:space="preserve">Примечания/ Комментарии
</t>
  </si>
  <si>
    <t>Заполненный документ направить в формате *.xls, *.pdf (скан) на адресc tender@akron-holding.ru</t>
  </si>
  <si>
    <t>Подтверждение соответствия предложения требованиям заказчика. Ограничения/ Исключения</t>
  </si>
  <si>
    <t>Ярославская обл.</t>
  </si>
  <si>
    <t>Город</t>
  </si>
  <si>
    <t xml:space="preserve">Требования к поставщику </t>
  </si>
  <si>
    <t>1.1</t>
  </si>
  <si>
    <t>1.2</t>
  </si>
  <si>
    <t>Организация перевозки людей должна являться разрешённым видом деятельности Исполнителя. В момент заключения Договора Исполнитель предоставляет Заказчику разрешительные документы на перевозку пассажиров (лицензия на пасажирские перевозки)</t>
  </si>
  <si>
    <t xml:space="preserve">Транспортное средство должно быть оборудовано ремнями безопасности. Предоставленное Исполнителем транспортное средство должно быть чистым, внутреннее состояние транспортного средства должно соответствовать санитарно-гигиеническим нормам. Транспортное средство должно пройти технический контроль перед выездом и быть допущено к осуществлению перевозок техническим сотрудником, имеющим соответствующую квалификацию. </t>
  </si>
  <si>
    <t>Исполнитель осуществляет перевозку пассажиров согласно Постановления Правительства РФ от 01.10.2020 N 1586 «Об утверждении Правил перевозок пассажиров и багажа автомобильным транспортом и городским наземным электрическим транспортом» (с изменениями и дополнениями).Исполнитель производит подачу автобуса в место и время, согласованное с Заказчиком, а также осуществляет перевозку пассажиров по утвержденному графику и маршруту.</t>
  </si>
  <si>
    <t>1.3</t>
  </si>
  <si>
    <t>В случае возникновения технической неисправности автобуса Исполнитель обязуется произвести его своевременную замену.</t>
  </si>
  <si>
    <t>1.4</t>
  </si>
  <si>
    <t>Для осуществления организованной перевозки пассажиров Исполнитель предоставляет транспортное средство, которое соответствует по назначению и конструкции техническим требованиям к перевозкам пассажиров, допущен в установленном порядке к участию в дорожном движении и оснащен в установленном порядке тахографом, а также аппаратурой спутниковой навигации ГЛОНАСС или ГЛОНАСС/GPS.</t>
  </si>
  <si>
    <t>1.6</t>
  </si>
  <si>
    <t xml:space="preserve">Водительский состав транспортного средства должен в обязательном порядке пройти предрейсовое медицинское освидетельствование и быть допущен к осуществлению перевозок медицинским работником, имеющим соответствующую квалификацию и сертификат на осуществление услуг по предрейсовому медицинскому освидетельствованию водителей. О допуске водительского состава к осуществлению перевозок в путевом листе Транспортного средства должна быть сделана соответствующая отметка. </t>
  </si>
  <si>
    <t>Исполнитель несет ответственность за жизнь и здоровье пассажиров в случае неисполнения условий договора. Исполнитель страхует Транспортное средство и несет ответственность за ущерб, который может быть причинен им или в связи с его эксплуатацией.</t>
  </si>
  <si>
    <t>Исполнитель обязуется в период оплачиваемого простоя не использовать автобус для перевозки любых других пассажиров и организованных групп.</t>
  </si>
  <si>
    <t>2</t>
  </si>
  <si>
    <t>Требование к транспортным средствам</t>
  </si>
  <si>
    <t>2.1</t>
  </si>
  <si>
    <t>2.2</t>
  </si>
  <si>
    <t>2.3</t>
  </si>
  <si>
    <t>1.5</t>
  </si>
  <si>
    <t xml:space="preserve">Исполнитель предоставляет Заказчику услуги по управлению и технической эксплуатации Транспортного средства с обеспечением его нормальной и безопасной эксплуатации в соответствии с целями фрахтования и нормативно-законодательными актами РФ в сфере транспортного обслуживания и безопасности движения.
</t>
  </si>
  <si>
    <t>Исполнитель обеспечивает соответствие водительского состава Транспортного средства, его квалификации требованиям нормативно-законодательных актов РФ по обычной практике эксплуатации пассажирского автомобильного транспорта, при предоставлении услуг по заказным перевозкам и условиям настоящего договора.</t>
  </si>
  <si>
    <t>Требование к водителям</t>
  </si>
  <si>
    <t>3.1</t>
  </si>
  <si>
    <t>3.2</t>
  </si>
  <si>
    <t>3.3</t>
  </si>
  <si>
    <t>Водители с категорией D и стажем работы от 3 лет. Отсутствие серьезных нарушений ПДД за последний год.</t>
  </si>
  <si>
    <t xml:space="preserve">На момент выезда из пункта отправления транспортное средство должно быть заправлено необходимым количеством горюче-смазочного материала и топлива. </t>
  </si>
  <si>
    <t xml:space="preserve">Наличие аптечек, огнетушителей, систем видеонаблюдения </t>
  </si>
  <si>
    <t>2.4</t>
  </si>
  <si>
    <t>Условия по перевозке</t>
  </si>
  <si>
    <t xml:space="preserve">4.1 </t>
  </si>
  <si>
    <t>География перевозок: г. Тольятти, согласно маршрутам указанным в Приложении №1</t>
  </si>
  <si>
    <t>Режим работы: по графику, согласно Приложения №1</t>
  </si>
  <si>
    <t>4.2</t>
  </si>
  <si>
    <t xml:space="preserve">5. </t>
  </si>
  <si>
    <t>Коммерчиские условия</t>
  </si>
  <si>
    <t>5.1</t>
  </si>
  <si>
    <t>Форма оплаты: безнал, с возможностью предоставления отсрочки плотяжей до 30 р/дн</t>
  </si>
  <si>
    <t>Тарифы: фиксированная ставка (стоимость рейса),  с возможностью фиксации цены на 12 месяцев</t>
  </si>
  <si>
    <t>5.2</t>
  </si>
  <si>
    <t>5.3</t>
  </si>
  <si>
    <t xml:space="preserve">Штрафные санкции:
Срыв – стоимость рейса
Опоздание 50% от стоимости рейса  </t>
  </si>
  <si>
    <t>Общая сумма контракта на 12 месяцев</t>
  </si>
  <si>
    <t>РП</t>
  </si>
  <si>
    <t>Количество посадочных мест</t>
  </si>
  <si>
    <t>Маршрут</t>
  </si>
  <si>
    <t>график</t>
  </si>
  <si>
    <t>Стоимость 1 рейса без НДС</t>
  </si>
  <si>
    <t>30-45</t>
  </si>
  <si>
    <t>Хитон - Индустриальная 6</t>
  </si>
  <si>
    <t>ПН-ПТ</t>
  </si>
  <si>
    <t>утро 7:45 вечер 18:05 пятница вечер 17:05</t>
  </si>
  <si>
    <t>Парк Хаус - Громовой 31</t>
  </si>
  <si>
    <t>утро 08:20 вечер 18:00 пятница 17:00</t>
  </si>
  <si>
    <t>Гидротехническая - 50 лет Октября</t>
  </si>
  <si>
    <t>утро 08:00 вечер 18:05 пятница 17:05</t>
  </si>
  <si>
    <t>МГП</t>
  </si>
  <si>
    <t>Ленинский пр-т - Магистральная 11Е</t>
  </si>
  <si>
    <t>РусКат</t>
  </si>
  <si>
    <t xml:space="preserve">Революционная - Новозаводская </t>
  </si>
  <si>
    <t>ежедневно</t>
  </si>
  <si>
    <t>утро 06:30/8:15  обед 14:30/16:15  вечер 18:30/20:15 ночь 22:30/00:15</t>
  </si>
  <si>
    <t>Гидротехническая - Новозаводская</t>
  </si>
  <si>
    <t>утро 06:35/8:15  обед 14:45/16:15  вечер 18:45/ 20:15 ночь 22:45/00:15</t>
  </si>
  <si>
    <t>Новозаводская -  Жукова</t>
  </si>
  <si>
    <t>выезд 17:15</t>
  </si>
  <si>
    <t>Новозаводская -  Куйбышева</t>
  </si>
  <si>
    <t>ул. Льва Яшина - Жигулевск</t>
  </si>
  <si>
    <t>утром 06:30 вечером 17:00</t>
  </si>
  <si>
    <t>25-30</t>
  </si>
  <si>
    <t>ос. Ябл. Овраг - Завод ЭТМ</t>
  </si>
  <si>
    <t>На ЭТМ утром 07:00; в Жигулевск 1 смена в 17:15/ 2 смена 20:20</t>
  </si>
  <si>
    <t>Количество рейсов в месяц</t>
  </si>
  <si>
    <t>Сумма за месяц</t>
  </si>
  <si>
    <t>Заполняет постащик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</si>
</sst>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₽_-;\-* #,##0.00\ _₽_-;_-* &quot;-&quot;??\ _₽_-;_-@_-"/>
    <numFmt numFmtId="164" formatCode="_-* #,##0.00_-;\-* #,##0.00_-;_-* &quot;-&quot;??_-;_-@_-"/>
    <numFmt numFmtId="165" formatCode="_-* #,##0_-;\-* #,##0_-;_-* &quot;-&quot;??_-;_-@_-"/>
    <numFmt numFmtId="166" formatCode="_-* #,##0\ _₽_-;\-* #,##0\ _₽_-;_-* &quot;-&quot;??\ _₽_-;_-@_-"/>
    <numFmt numFmtId="167" formatCode="[$-419]mmmm\ yyyy;@"/>
    <numFmt numFmtId="168" formatCode="#,##0.00\ &quot;₽&quot;"/>
  </numFmts>
  <fonts count="4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1"/>
      <charset val="204"/>
    </font>
    <font>
      <sz val="8"/>
      <name val="Arial"/>
      <family val="2"/>
      <charset val="204"/>
    </font>
    <font>
      <b/>
      <u/>
      <sz val="11"/>
      <color rgb="FFC00000"/>
      <name val="Calibri"/>
      <family val="2"/>
      <charset val="204"/>
      <scheme val="minor"/>
    </font>
    <font>
      <sz val="11"/>
      <color theme="0" tint="-0.14999847407452621"/>
      <name val="Calibri"/>
      <family val="2"/>
      <charset val="204"/>
      <scheme val="minor"/>
    </font>
    <font>
      <b/>
      <i/>
      <u/>
      <sz val="11"/>
      <color rgb="FFC00000"/>
      <name val="Calibri"/>
      <family val="2"/>
      <charset val="204"/>
      <scheme val="minor"/>
    </font>
    <font>
      <i/>
      <sz val="8"/>
      <name val="Arial"/>
      <family val="2"/>
      <charset val="204"/>
    </font>
    <font>
      <sz val="8"/>
      <color theme="0" tint="-0.14999847407452621"/>
      <name val="Arial"/>
      <family val="2"/>
      <charset val="204"/>
    </font>
    <font>
      <i/>
      <sz val="8"/>
      <color rgb="FFC00000"/>
      <name val="Arial"/>
      <family val="2"/>
      <charset val="204"/>
    </font>
    <font>
      <b/>
      <i/>
      <sz val="11"/>
      <name val="Calibri"/>
      <family val="2"/>
      <charset val="204"/>
      <scheme val="minor"/>
    </font>
    <font>
      <b/>
      <i/>
      <sz val="11"/>
      <color rgb="FFC0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name val="Calibri"/>
      <family val="2"/>
      <charset val="204"/>
    </font>
    <font>
      <i/>
      <sz val="8"/>
      <color rgb="FFC00000"/>
      <name val="Calibri"/>
      <family val="2"/>
      <charset val="204"/>
      <scheme val="minor"/>
    </font>
    <font>
      <sz val="8"/>
      <color rgb="FF0070C0"/>
      <name val="Arial"/>
      <family val="2"/>
      <charset val="204"/>
    </font>
    <font>
      <i/>
      <sz val="8"/>
      <color rgb="FF0070C0"/>
      <name val="Arial"/>
      <family val="2"/>
      <charset val="204"/>
    </font>
    <font>
      <sz val="8"/>
      <color rgb="FFC00000"/>
      <name val="Calibri"/>
      <family val="2"/>
      <charset val="204"/>
      <scheme val="minor"/>
    </font>
    <font>
      <sz val="8"/>
      <color rgb="FFC00000"/>
      <name val="Arial"/>
      <family val="2"/>
      <charset val="204"/>
    </font>
    <font>
      <sz val="8"/>
      <color rgb="FF0070C0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i/>
      <sz val="8"/>
      <name val="Arial"/>
      <family val="2"/>
      <charset val="204"/>
    </font>
    <font>
      <b/>
      <u/>
      <sz val="12"/>
      <color rgb="FFC00000"/>
      <name val="Calibri"/>
      <family val="2"/>
      <charset val="204"/>
    </font>
    <font>
      <sz val="12"/>
      <color rgb="FFC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theme="1"/>
      <name val="Aparajita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name val="Arial CY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C00000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rgb="FFC0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rgb="FFC00000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rgb="FFC00000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rgb="FFC00000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rgb="FFC00000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rgb="FFC00000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rgb="FFC00000"/>
      </top>
      <bottom style="thin">
        <color indexed="64"/>
      </bottom>
      <diagonal/>
    </border>
    <border>
      <left style="thin">
        <color indexed="64"/>
      </left>
      <right/>
      <top style="double">
        <color rgb="FFC00000"/>
      </top>
      <bottom style="thin">
        <color indexed="64"/>
      </bottom>
      <diagonal/>
    </border>
    <border>
      <left style="double">
        <color rgb="FFC00000"/>
      </left>
      <right style="double">
        <color indexed="64"/>
      </right>
      <top style="double">
        <color rgb="FFC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rgb="FFC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" fillId="0" borderId="0"/>
    <xf numFmtId="0" fontId="36" fillId="0" borderId="0"/>
    <xf numFmtId="0" fontId="6" fillId="0" borderId="0"/>
    <xf numFmtId="0" fontId="37" fillId="0" borderId="0"/>
  </cellStyleXfs>
  <cellXfs count="3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4" fillId="0" borderId="0" xfId="0" applyFont="1" applyAlignment="1">
      <alignment horizontal="left" vertical="top"/>
    </xf>
    <xf numFmtId="0" fontId="6" fillId="0" borderId="0" xfId="1"/>
    <xf numFmtId="0" fontId="6" fillId="0" borderId="0" xfId="1" applyFill="1"/>
    <xf numFmtId="0" fontId="0" fillId="0" borderId="0" xfId="0" applyFill="1" applyAlignment="1">
      <alignment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0" fillId="0" borderId="2" xfId="0" applyFill="1" applyBorder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1" xfId="1" applyFill="1" applyBorder="1"/>
    <xf numFmtId="0" fontId="0" fillId="0" borderId="1" xfId="0" applyFill="1" applyBorder="1"/>
    <xf numFmtId="0" fontId="1" fillId="0" borderId="0" xfId="4" applyFont="1" applyFill="1" applyAlignment="1">
      <alignment wrapText="1"/>
    </xf>
    <xf numFmtId="167" fontId="14" fillId="0" borderId="0" xfId="4" applyNumberFormat="1" applyFont="1" applyFill="1" applyAlignment="1">
      <alignment horizontal="right"/>
    </xf>
    <xf numFmtId="3" fontId="14" fillId="0" borderId="0" xfId="4" applyNumberFormat="1" applyFont="1" applyFill="1" applyAlignment="1">
      <alignment horizontal="right" indent="1"/>
    </xf>
    <xf numFmtId="3" fontId="15" fillId="0" borderId="0" xfId="4" applyNumberFormat="1" applyFont="1" applyFill="1" applyAlignment="1">
      <alignment horizontal="right" indent="1"/>
    </xf>
    <xf numFmtId="167" fontId="16" fillId="0" borderId="0" xfId="4" applyNumberFormat="1" applyFont="1" applyFill="1" applyAlignment="1">
      <alignment horizontal="center" vertical="center"/>
    </xf>
    <xf numFmtId="0" fontId="17" fillId="0" borderId="0" xfId="4" applyFont="1"/>
    <xf numFmtId="0" fontId="17" fillId="0" borderId="0" xfId="0" applyFont="1"/>
    <xf numFmtId="0" fontId="13" fillId="0" borderId="0" xfId="4"/>
    <xf numFmtId="0" fontId="18" fillId="0" borderId="0" xfId="4" applyFont="1"/>
    <xf numFmtId="0" fontId="19" fillId="0" borderId="0" xfId="4" applyFont="1" applyFill="1" applyBorder="1"/>
    <xf numFmtId="3" fontId="19" fillId="0" borderId="0" xfId="4" applyNumberFormat="1" applyFont="1" applyFill="1" applyBorder="1" applyAlignment="1">
      <alignment horizontal="right" indent="1"/>
    </xf>
    <xf numFmtId="0" fontId="19" fillId="0" borderId="0" xfId="4" applyFont="1" applyFill="1" applyBorder="1" applyAlignment="1">
      <alignment horizontal="center" vertical="center"/>
    </xf>
    <xf numFmtId="0" fontId="19" fillId="0" borderId="0" xfId="4" applyFont="1"/>
    <xf numFmtId="0" fontId="19" fillId="0" borderId="0" xfId="0" applyFont="1"/>
    <xf numFmtId="0" fontId="10" fillId="3" borderId="12" xfId="0" applyFont="1" applyFill="1" applyBorder="1" applyAlignment="1">
      <alignment horizontal="centerContinuous" vertical="center" wrapText="1"/>
    </xf>
    <xf numFmtId="0" fontId="10" fillId="3" borderId="13" xfId="0" applyFont="1" applyFill="1" applyBorder="1" applyAlignment="1">
      <alignment horizontal="centerContinuous" vertical="center" wrapText="1"/>
    </xf>
    <xf numFmtId="3" fontId="19" fillId="3" borderId="14" xfId="4" applyNumberFormat="1" applyFont="1" applyFill="1" applyBorder="1" applyAlignment="1">
      <alignment horizontal="centerContinuous"/>
    </xf>
    <xf numFmtId="0" fontId="10" fillId="0" borderId="0" xfId="0" applyFont="1" applyFill="1" applyBorder="1" applyAlignment="1">
      <alignment horizontal="center" vertical="center" wrapText="1"/>
    </xf>
    <xf numFmtId="0" fontId="1" fillId="3" borderId="9" xfId="4" applyFont="1" applyFill="1" applyBorder="1" applyAlignment="1">
      <alignment horizontal="center" vertical="center" wrapText="1"/>
    </xf>
    <xf numFmtId="0" fontId="1" fillId="3" borderId="15" xfId="4" applyFont="1" applyFill="1" applyBorder="1" applyAlignment="1">
      <alignment horizontal="center" vertical="center" wrapText="1"/>
    </xf>
    <xf numFmtId="0" fontId="9" fillId="3" borderId="16" xfId="4" applyFont="1" applyFill="1" applyBorder="1" applyAlignment="1">
      <alignment horizontal="center" vertical="center" wrapText="1"/>
    </xf>
    <xf numFmtId="3" fontId="1" fillId="3" borderId="17" xfId="4" applyNumberFormat="1" applyFont="1" applyFill="1" applyBorder="1" applyAlignment="1">
      <alignment horizontal="center" vertical="center" wrapText="1"/>
    </xf>
    <xf numFmtId="3" fontId="1" fillId="3" borderId="18" xfId="4" applyNumberFormat="1" applyFont="1" applyFill="1" applyBorder="1" applyAlignment="1">
      <alignment horizontal="center" vertical="center" wrapText="1"/>
    </xf>
    <xf numFmtId="3" fontId="1" fillId="3" borderId="19" xfId="4" applyNumberFormat="1" applyFont="1" applyFill="1" applyBorder="1" applyAlignment="1">
      <alignment horizontal="center" vertical="center" wrapText="1"/>
    </xf>
    <xf numFmtId="3" fontId="1" fillId="3" borderId="1" xfId="4" applyNumberFormat="1" applyFont="1" applyFill="1" applyBorder="1" applyAlignment="1">
      <alignment horizontal="center" vertical="center" wrapText="1"/>
    </xf>
    <xf numFmtId="3" fontId="1" fillId="3" borderId="10" xfId="4" applyNumberFormat="1" applyFont="1" applyFill="1" applyBorder="1" applyAlignment="1">
      <alignment horizontal="center" vertical="center" wrapText="1"/>
    </xf>
    <xf numFmtId="0" fontId="20" fillId="3" borderId="20" xfId="4" applyFont="1" applyFill="1" applyBorder="1" applyAlignment="1">
      <alignment horizontal="center" vertical="center" wrapText="1"/>
    </xf>
    <xf numFmtId="0" fontId="17" fillId="0" borderId="0" xfId="4" applyFont="1" applyAlignment="1">
      <alignment horizontal="centerContinuous"/>
    </xf>
    <xf numFmtId="0" fontId="17" fillId="0" borderId="0" xfId="0" applyFont="1" applyAlignment="1">
      <alignment horizontal="centerContinuous"/>
    </xf>
    <xf numFmtId="3" fontId="1" fillId="3" borderId="21" xfId="4" applyNumberFormat="1" applyFont="1" applyFill="1" applyBorder="1" applyAlignment="1">
      <alignment horizontal="center" vertical="center" wrapText="1"/>
    </xf>
    <xf numFmtId="3" fontId="1" fillId="3" borderId="22" xfId="4" applyNumberFormat="1" applyFont="1" applyFill="1" applyBorder="1" applyAlignment="1">
      <alignment horizontal="center" vertical="center" wrapText="1"/>
    </xf>
    <xf numFmtId="3" fontId="1" fillId="3" borderId="23" xfId="4" applyNumberFormat="1" applyFont="1" applyFill="1" applyBorder="1" applyAlignment="1">
      <alignment horizontal="center" vertical="center" wrapText="1"/>
    </xf>
    <xf numFmtId="0" fontId="1" fillId="2" borderId="1" xfId="4" applyFont="1" applyFill="1" applyBorder="1"/>
    <xf numFmtId="0" fontId="1" fillId="2" borderId="10" xfId="4" applyFont="1" applyFill="1" applyBorder="1" applyAlignment="1">
      <alignment horizontal="center"/>
    </xf>
    <xf numFmtId="0" fontId="1" fillId="2" borderId="13" xfId="4" applyFont="1" applyFill="1" applyBorder="1" applyAlignment="1">
      <alignment horizontal="center"/>
    </xf>
    <xf numFmtId="3" fontId="1" fillId="2" borderId="13" xfId="4" applyNumberFormat="1" applyFont="1" applyFill="1" applyBorder="1" applyAlignment="1">
      <alignment horizontal="right" indent="1"/>
    </xf>
    <xf numFmtId="0" fontId="21" fillId="2" borderId="24" xfId="4" applyFont="1" applyFill="1" applyBorder="1" applyAlignment="1">
      <alignment horizontal="center" vertical="center"/>
    </xf>
    <xf numFmtId="3" fontId="17" fillId="0" borderId="0" xfId="0" applyNumberFormat="1" applyFont="1"/>
    <xf numFmtId="3" fontId="1" fillId="2" borderId="12" xfId="4" applyNumberFormat="1" applyFont="1" applyFill="1" applyBorder="1" applyAlignment="1">
      <alignment horizontal="right" indent="1"/>
    </xf>
    <xf numFmtId="3" fontId="1" fillId="2" borderId="14" xfId="4" applyNumberFormat="1" applyFont="1" applyFill="1" applyBorder="1" applyAlignment="1">
      <alignment horizontal="right" indent="1"/>
    </xf>
    <xf numFmtId="0" fontId="22" fillId="0" borderId="25" xfId="4" applyFont="1" applyFill="1" applyBorder="1" applyAlignment="1">
      <alignment horizontal="left" indent="1"/>
    </xf>
    <xf numFmtId="0" fontId="13" fillId="0" borderId="26" xfId="4" applyFont="1" applyFill="1" applyBorder="1" applyAlignment="1">
      <alignment horizontal="center"/>
    </xf>
    <xf numFmtId="0" fontId="13" fillId="2" borderId="27" xfId="4" applyFont="1" applyFill="1" applyBorder="1" applyAlignment="1">
      <alignment horizontal="center"/>
    </xf>
    <xf numFmtId="3" fontId="13" fillId="0" borderId="28" xfId="4" applyNumberFormat="1" applyFont="1" applyFill="1" applyBorder="1" applyAlignment="1">
      <alignment horizontal="right" indent="1"/>
    </xf>
    <xf numFmtId="3" fontId="13" fillId="0" borderId="29" xfId="4" applyNumberFormat="1" applyFont="1" applyFill="1" applyBorder="1" applyAlignment="1">
      <alignment horizontal="right" indent="1"/>
    </xf>
    <xf numFmtId="3" fontId="13" fillId="0" borderId="30" xfId="4" applyNumberFormat="1" applyFont="1" applyFill="1" applyBorder="1" applyAlignment="1">
      <alignment horizontal="right" indent="1"/>
    </xf>
    <xf numFmtId="3" fontId="13" fillId="0" borderId="31" xfId="4" applyNumberFormat="1" applyFont="1" applyFill="1" applyBorder="1" applyAlignment="1">
      <alignment horizontal="right" indent="1"/>
    </xf>
    <xf numFmtId="3" fontId="13" fillId="0" borderId="25" xfId="4" applyNumberFormat="1" applyFont="1" applyFill="1" applyBorder="1" applyAlignment="1">
      <alignment horizontal="right" indent="1"/>
    </xf>
    <xf numFmtId="3" fontId="13" fillId="0" borderId="26" xfId="4" applyNumberFormat="1" applyFont="1" applyFill="1" applyBorder="1" applyAlignment="1">
      <alignment horizontal="right" indent="1"/>
    </xf>
    <xf numFmtId="0" fontId="19" fillId="0" borderId="32" xfId="4" applyFont="1" applyFill="1" applyBorder="1" applyAlignment="1">
      <alignment horizontal="center" vertical="center"/>
    </xf>
    <xf numFmtId="3" fontId="13" fillId="0" borderId="0" xfId="4" applyNumberFormat="1"/>
    <xf numFmtId="0" fontId="13" fillId="0" borderId="33" xfId="4" applyFont="1" applyFill="1" applyBorder="1" applyAlignment="1">
      <alignment horizontal="left" vertical="center" indent="1"/>
    </xf>
    <xf numFmtId="0" fontId="13" fillId="0" borderId="34" xfId="4" applyFont="1" applyFill="1" applyBorder="1" applyAlignment="1">
      <alignment horizontal="center"/>
    </xf>
    <xf numFmtId="0" fontId="13" fillId="2" borderId="35" xfId="4" applyFont="1" applyFill="1" applyBorder="1" applyAlignment="1">
      <alignment horizontal="center"/>
    </xf>
    <xf numFmtId="3" fontId="13" fillId="0" borderId="36" xfId="4" applyNumberFormat="1" applyFont="1" applyFill="1" applyBorder="1" applyAlignment="1">
      <alignment horizontal="right" indent="1"/>
    </xf>
    <xf numFmtId="3" fontId="13" fillId="0" borderId="37" xfId="4" applyNumberFormat="1" applyFont="1" applyFill="1" applyBorder="1" applyAlignment="1">
      <alignment horizontal="right" indent="1"/>
    </xf>
    <xf numFmtId="3" fontId="13" fillId="0" borderId="38" xfId="4" applyNumberFormat="1" applyFont="1" applyFill="1" applyBorder="1" applyAlignment="1">
      <alignment horizontal="right" indent="1"/>
    </xf>
    <xf numFmtId="3" fontId="13" fillId="0" borderId="39" xfId="4" applyNumberFormat="1" applyFont="1" applyFill="1" applyBorder="1" applyAlignment="1">
      <alignment horizontal="right" indent="1"/>
    </xf>
    <xf numFmtId="3" fontId="13" fillId="0" borderId="33" xfId="4" applyNumberFormat="1" applyFont="1" applyFill="1" applyBorder="1" applyAlignment="1">
      <alignment horizontal="right" indent="1"/>
    </xf>
    <xf numFmtId="3" fontId="13" fillId="0" borderId="34" xfId="4" applyNumberFormat="1" applyFont="1" applyFill="1" applyBorder="1" applyAlignment="1">
      <alignment horizontal="right" indent="1"/>
    </xf>
    <xf numFmtId="0" fontId="19" fillId="0" borderId="40" xfId="4" applyFont="1" applyFill="1" applyBorder="1" applyAlignment="1">
      <alignment horizontal="center" vertical="center"/>
    </xf>
    <xf numFmtId="0" fontId="13" fillId="0" borderId="33" xfId="4" applyFont="1" applyFill="1" applyBorder="1" applyAlignment="1">
      <alignment horizontal="left" vertical="center" wrapText="1" indent="1"/>
    </xf>
    <xf numFmtId="0" fontId="22" fillId="0" borderId="33" xfId="4" applyFont="1" applyFill="1" applyBorder="1" applyAlignment="1">
      <alignment horizontal="left" vertical="center" wrapText="1" indent="1"/>
    </xf>
    <xf numFmtId="0" fontId="13" fillId="0" borderId="34" xfId="4" applyFont="1" applyFill="1" applyBorder="1" applyAlignment="1">
      <alignment horizontal="center" vertical="center"/>
    </xf>
    <xf numFmtId="0" fontId="13" fillId="2" borderId="35" xfId="4" applyFont="1" applyFill="1" applyBorder="1" applyAlignment="1">
      <alignment horizontal="center" vertical="center"/>
    </xf>
    <xf numFmtId="3" fontId="13" fillId="0" borderId="36" xfId="4" applyNumberFormat="1" applyFont="1" applyFill="1" applyBorder="1" applyAlignment="1">
      <alignment horizontal="right" vertical="center" indent="1"/>
    </xf>
    <xf numFmtId="3" fontId="13" fillId="0" borderId="37" xfId="4" applyNumberFormat="1" applyFont="1" applyFill="1" applyBorder="1" applyAlignment="1">
      <alignment horizontal="right" vertical="center" indent="1"/>
    </xf>
    <xf numFmtId="3" fontId="13" fillId="0" borderId="38" xfId="4" applyNumberFormat="1" applyFont="1" applyFill="1" applyBorder="1" applyAlignment="1">
      <alignment horizontal="right" vertical="center" indent="1"/>
    </xf>
    <xf numFmtId="3" fontId="13" fillId="0" borderId="39" xfId="4" applyNumberFormat="1" applyFont="1" applyFill="1" applyBorder="1" applyAlignment="1">
      <alignment horizontal="right" vertical="center" indent="1"/>
    </xf>
    <xf numFmtId="3" fontId="13" fillId="0" borderId="33" xfId="4" applyNumberFormat="1" applyFont="1" applyFill="1" applyBorder="1" applyAlignment="1">
      <alignment horizontal="right" vertical="center" indent="1"/>
    </xf>
    <xf numFmtId="3" fontId="13" fillId="0" borderId="34" xfId="4" applyNumberFormat="1" applyFont="1" applyFill="1" applyBorder="1" applyAlignment="1">
      <alignment horizontal="right" vertical="center" indent="1"/>
    </xf>
    <xf numFmtId="0" fontId="13" fillId="0" borderId="35" xfId="4" applyFont="1" applyFill="1" applyBorder="1" applyAlignment="1">
      <alignment horizontal="left" indent="1"/>
    </xf>
    <xf numFmtId="0" fontId="23" fillId="0" borderId="33" xfId="4" applyFont="1" applyFill="1" applyBorder="1" applyAlignment="1">
      <alignment horizontal="left" vertical="center" wrapText="1" indent="1"/>
    </xf>
    <xf numFmtId="0" fontId="22" fillId="0" borderId="33" xfId="4" applyFont="1" applyFill="1" applyBorder="1" applyAlignment="1">
      <alignment horizontal="left" vertical="center" indent="1"/>
    </xf>
    <xf numFmtId="0" fontId="22" fillId="0" borderId="34" xfId="4" applyFont="1" applyFill="1" applyBorder="1" applyAlignment="1">
      <alignment horizontal="center"/>
    </xf>
    <xf numFmtId="0" fontId="22" fillId="2" borderId="35" xfId="4" applyFont="1" applyFill="1" applyBorder="1" applyAlignment="1">
      <alignment horizontal="center"/>
    </xf>
    <xf numFmtId="3" fontId="22" fillId="0" borderId="36" xfId="4" applyNumberFormat="1" applyFont="1" applyFill="1" applyBorder="1" applyAlignment="1">
      <alignment horizontal="right" indent="1"/>
    </xf>
    <xf numFmtId="3" fontId="22" fillId="0" borderId="37" xfId="4" applyNumberFormat="1" applyFont="1" applyFill="1" applyBorder="1" applyAlignment="1">
      <alignment horizontal="right" indent="1"/>
    </xf>
    <xf numFmtId="3" fontId="22" fillId="0" borderId="38" xfId="4" applyNumberFormat="1" applyFont="1" applyFill="1" applyBorder="1" applyAlignment="1">
      <alignment horizontal="right" indent="1"/>
    </xf>
    <xf numFmtId="3" fontId="22" fillId="0" borderId="39" xfId="4" applyNumberFormat="1" applyFont="1" applyFill="1" applyBorder="1" applyAlignment="1">
      <alignment horizontal="right" indent="1"/>
    </xf>
    <xf numFmtId="3" fontId="22" fillId="0" borderId="33" xfId="4" applyNumberFormat="1" applyFont="1" applyFill="1" applyBorder="1" applyAlignment="1">
      <alignment horizontal="right" indent="1"/>
    </xf>
    <xf numFmtId="3" fontId="22" fillId="0" borderId="34" xfId="4" applyNumberFormat="1" applyFont="1" applyFill="1" applyBorder="1" applyAlignment="1">
      <alignment horizontal="right" indent="1"/>
    </xf>
    <xf numFmtId="0" fontId="24" fillId="0" borderId="40" xfId="4" applyFont="1" applyFill="1" applyBorder="1" applyAlignment="1">
      <alignment horizontal="center" vertical="center"/>
    </xf>
    <xf numFmtId="0" fontId="13" fillId="0" borderId="41" xfId="4" applyFont="1" applyFill="1" applyBorder="1" applyAlignment="1">
      <alignment horizontal="left" vertical="center" indent="1"/>
    </xf>
    <xf numFmtId="0" fontId="13" fillId="0" borderId="42" xfId="4" applyFont="1" applyFill="1" applyBorder="1" applyAlignment="1">
      <alignment horizontal="center"/>
    </xf>
    <xf numFmtId="0" fontId="13" fillId="2" borderId="43" xfId="4" applyFont="1" applyFill="1" applyBorder="1" applyAlignment="1">
      <alignment horizontal="center"/>
    </xf>
    <xf numFmtId="3" fontId="13" fillId="0" borderId="44" xfId="4" applyNumberFormat="1" applyFont="1" applyFill="1" applyBorder="1" applyAlignment="1">
      <alignment horizontal="right" indent="1"/>
    </xf>
    <xf numFmtId="3" fontId="13" fillId="0" borderId="45" xfId="4" applyNumberFormat="1" applyFont="1" applyFill="1" applyBorder="1" applyAlignment="1">
      <alignment horizontal="right" indent="1"/>
    </xf>
    <xf numFmtId="3" fontId="13" fillId="0" borderId="46" xfId="4" applyNumberFormat="1" applyFont="1" applyFill="1" applyBorder="1" applyAlignment="1">
      <alignment horizontal="right" indent="1"/>
    </xf>
    <xf numFmtId="3" fontId="13" fillId="0" borderId="47" xfId="4" applyNumberFormat="1" applyFont="1" applyFill="1" applyBorder="1" applyAlignment="1">
      <alignment horizontal="right" indent="1"/>
    </xf>
    <xf numFmtId="3" fontId="13" fillId="0" borderId="41" xfId="4" applyNumberFormat="1" applyFont="1" applyFill="1" applyBorder="1" applyAlignment="1">
      <alignment horizontal="right" indent="1"/>
    </xf>
    <xf numFmtId="3" fontId="13" fillId="0" borderId="42" xfId="4" applyNumberFormat="1" applyFont="1" applyFill="1" applyBorder="1" applyAlignment="1">
      <alignment horizontal="right" indent="1"/>
    </xf>
    <xf numFmtId="0" fontId="19" fillId="0" borderId="48" xfId="4" applyFont="1" applyFill="1" applyBorder="1" applyAlignment="1">
      <alignment horizontal="center" vertical="center"/>
    </xf>
    <xf numFmtId="0" fontId="1" fillId="3" borderId="1" xfId="4" applyFont="1" applyFill="1" applyBorder="1"/>
    <xf numFmtId="0" fontId="1" fillId="3" borderId="1" xfId="4" applyFont="1" applyFill="1" applyBorder="1" applyAlignment="1">
      <alignment horizontal="center"/>
    </xf>
    <xf numFmtId="3" fontId="1" fillId="3" borderId="1" xfId="4" applyNumberFormat="1" applyFont="1" applyFill="1" applyBorder="1" applyAlignment="1">
      <alignment horizontal="right" indent="1"/>
    </xf>
    <xf numFmtId="3" fontId="1" fillId="3" borderId="10" xfId="4" applyNumberFormat="1" applyFont="1" applyFill="1" applyBorder="1" applyAlignment="1">
      <alignment horizontal="right" indent="1"/>
    </xf>
    <xf numFmtId="3" fontId="20" fillId="3" borderId="24" xfId="4" applyNumberFormat="1" applyFont="1" applyFill="1" applyBorder="1" applyAlignment="1">
      <alignment horizontal="center" vertical="center"/>
    </xf>
    <xf numFmtId="3" fontId="1" fillId="3" borderId="18" xfId="4" applyNumberFormat="1" applyFont="1" applyFill="1" applyBorder="1" applyAlignment="1">
      <alignment horizontal="right" indent="1"/>
    </xf>
    <xf numFmtId="3" fontId="1" fillId="3" borderId="19" xfId="4" applyNumberFormat="1" applyFont="1" applyFill="1" applyBorder="1" applyAlignment="1">
      <alignment horizontal="right" indent="1"/>
    </xf>
    <xf numFmtId="0" fontId="13" fillId="0" borderId="25" xfId="4" applyFont="1" applyFill="1" applyBorder="1" applyAlignment="1">
      <alignment horizontal="left" indent="1"/>
    </xf>
    <xf numFmtId="0" fontId="13" fillId="0" borderId="49" xfId="4" applyFont="1" applyFill="1" applyBorder="1" applyAlignment="1">
      <alignment horizontal="left" indent="1"/>
    </xf>
    <xf numFmtId="0" fontId="13" fillId="0" borderId="50" xfId="4" applyFont="1" applyFill="1" applyBorder="1" applyAlignment="1">
      <alignment horizontal="center"/>
    </xf>
    <xf numFmtId="0" fontId="13" fillId="2" borderId="51" xfId="4" applyFont="1" applyFill="1" applyBorder="1" applyAlignment="1">
      <alignment horizontal="center"/>
    </xf>
    <xf numFmtId="3" fontId="13" fillId="0" borderId="52" xfId="4" applyNumberFormat="1" applyFont="1" applyFill="1" applyBorder="1" applyAlignment="1">
      <alignment horizontal="right" indent="1"/>
    </xf>
    <xf numFmtId="3" fontId="13" fillId="0" borderId="53" xfId="4" applyNumberFormat="1" applyFont="1" applyFill="1" applyBorder="1" applyAlignment="1">
      <alignment horizontal="right" indent="1"/>
    </xf>
    <xf numFmtId="3" fontId="13" fillId="0" borderId="54" xfId="4" applyNumberFormat="1" applyFont="1" applyFill="1" applyBorder="1" applyAlignment="1">
      <alignment horizontal="right" indent="1"/>
    </xf>
    <xf numFmtId="3" fontId="13" fillId="0" borderId="55" xfId="4" applyNumberFormat="1" applyFont="1" applyFill="1" applyBorder="1" applyAlignment="1">
      <alignment horizontal="right" indent="1"/>
    </xf>
    <xf numFmtId="3" fontId="13" fillId="0" borderId="49" xfId="4" applyNumberFormat="1" applyFont="1" applyFill="1" applyBorder="1" applyAlignment="1">
      <alignment horizontal="right" indent="1"/>
    </xf>
    <xf numFmtId="3" fontId="13" fillId="0" borderId="50" xfId="4" applyNumberFormat="1" applyFont="1" applyFill="1" applyBorder="1" applyAlignment="1">
      <alignment horizontal="right" indent="1"/>
    </xf>
    <xf numFmtId="0" fontId="19" fillId="0" borderId="56" xfId="4" applyFont="1" applyFill="1" applyBorder="1" applyAlignment="1">
      <alignment horizontal="center" vertical="center"/>
    </xf>
    <xf numFmtId="0" fontId="13" fillId="0" borderId="33" xfId="4" applyFont="1" applyFill="1" applyBorder="1" applyAlignment="1">
      <alignment horizontal="left" indent="1"/>
    </xf>
    <xf numFmtId="0" fontId="25" fillId="0" borderId="41" xfId="4" applyFont="1" applyFill="1" applyBorder="1" applyAlignment="1">
      <alignment horizontal="left" indent="1"/>
    </xf>
    <xf numFmtId="0" fontId="25" fillId="0" borderId="42" xfId="4" applyFont="1" applyFill="1" applyBorder="1" applyAlignment="1">
      <alignment horizontal="center"/>
    </xf>
    <xf numFmtId="0" fontId="25" fillId="2" borderId="43" xfId="4" applyFont="1" applyFill="1" applyBorder="1" applyAlignment="1">
      <alignment horizontal="center"/>
    </xf>
    <xf numFmtId="3" fontId="25" fillId="0" borderId="44" xfId="4" applyNumberFormat="1" applyFont="1" applyFill="1" applyBorder="1" applyAlignment="1">
      <alignment horizontal="right" indent="1"/>
    </xf>
    <xf numFmtId="3" fontId="25" fillId="0" borderId="45" xfId="4" applyNumberFormat="1" applyFont="1" applyFill="1" applyBorder="1" applyAlignment="1">
      <alignment horizontal="right" indent="1"/>
    </xf>
    <xf numFmtId="3" fontId="25" fillId="0" borderId="46" xfId="4" applyNumberFormat="1" applyFont="1" applyFill="1" applyBorder="1" applyAlignment="1">
      <alignment horizontal="right" indent="1"/>
    </xf>
    <xf numFmtId="3" fontId="25" fillId="0" borderId="47" xfId="4" applyNumberFormat="1" applyFont="1" applyFill="1" applyBorder="1" applyAlignment="1">
      <alignment horizontal="right" indent="1"/>
    </xf>
    <xf numFmtId="3" fontId="25" fillId="0" borderId="41" xfId="4" applyNumberFormat="1" applyFont="1" applyFill="1" applyBorder="1" applyAlignment="1">
      <alignment horizontal="right" indent="1"/>
    </xf>
    <xf numFmtId="3" fontId="25" fillId="0" borderId="42" xfId="4" applyNumberFormat="1" applyFont="1" applyFill="1" applyBorder="1" applyAlignment="1">
      <alignment horizontal="right" indent="1"/>
    </xf>
    <xf numFmtId="0" fontId="26" fillId="0" borderId="48" xfId="4" applyFont="1" applyFill="1" applyBorder="1" applyAlignment="1">
      <alignment horizontal="center" vertical="center"/>
    </xf>
    <xf numFmtId="0" fontId="13" fillId="0" borderId="0" xfId="4" applyFont="1"/>
    <xf numFmtId="3" fontId="13" fillId="0" borderId="0" xfId="0" applyNumberFormat="1" applyFont="1"/>
    <xf numFmtId="0" fontId="25" fillId="0" borderId="0" xfId="4" applyFont="1"/>
    <xf numFmtId="3" fontId="25" fillId="0" borderId="0" xfId="4" applyNumberFormat="1" applyFont="1"/>
    <xf numFmtId="0" fontId="25" fillId="0" borderId="25" xfId="4" applyFont="1" applyFill="1" applyBorder="1" applyAlignment="1">
      <alignment horizontal="left" indent="1"/>
    </xf>
    <xf numFmtId="0" fontId="25" fillId="0" borderId="26" xfId="4" applyFont="1" applyFill="1" applyBorder="1" applyAlignment="1">
      <alignment horizontal="center"/>
    </xf>
    <xf numFmtId="0" fontId="26" fillId="2" borderId="27" xfId="4" applyFont="1" applyFill="1" applyBorder="1" applyAlignment="1">
      <alignment horizontal="center"/>
    </xf>
    <xf numFmtId="3" fontId="25" fillId="0" borderId="28" xfId="4" applyNumberFormat="1" applyFont="1" applyFill="1" applyBorder="1" applyAlignment="1">
      <alignment horizontal="right" indent="1"/>
    </xf>
    <xf numFmtId="3" fontId="25" fillId="0" borderId="29" xfId="4" applyNumberFormat="1" applyFont="1" applyFill="1" applyBorder="1" applyAlignment="1">
      <alignment horizontal="right" indent="1"/>
    </xf>
    <xf numFmtId="3" fontId="25" fillId="0" borderId="30" xfId="4" applyNumberFormat="1" applyFont="1" applyFill="1" applyBorder="1" applyAlignment="1">
      <alignment horizontal="right" indent="1"/>
    </xf>
    <xf numFmtId="3" fontId="25" fillId="0" borderId="31" xfId="4" applyNumberFormat="1" applyFont="1" applyFill="1" applyBorder="1" applyAlignment="1">
      <alignment horizontal="right" indent="1"/>
    </xf>
    <xf numFmtId="3" fontId="25" fillId="0" borderId="25" xfId="4" applyNumberFormat="1" applyFont="1" applyFill="1" applyBorder="1" applyAlignment="1">
      <alignment horizontal="right" indent="1"/>
    </xf>
    <xf numFmtId="3" fontId="25" fillId="0" borderId="26" xfId="4" applyNumberFormat="1" applyFont="1" applyFill="1" applyBorder="1" applyAlignment="1">
      <alignment horizontal="right" indent="1"/>
    </xf>
    <xf numFmtId="0" fontId="25" fillId="0" borderId="32" xfId="4" applyFont="1" applyFill="1" applyBorder="1" applyAlignment="1">
      <alignment horizontal="center" vertical="center"/>
    </xf>
    <xf numFmtId="9" fontId="25" fillId="0" borderId="0" xfId="4" applyNumberFormat="1" applyFont="1"/>
    <xf numFmtId="3" fontId="13" fillId="0" borderId="0" xfId="4" applyNumberFormat="1" applyFont="1"/>
    <xf numFmtId="0" fontId="22" fillId="0" borderId="33" xfId="4" applyFont="1" applyFill="1" applyBorder="1" applyAlignment="1">
      <alignment horizontal="left" indent="1"/>
    </xf>
    <xf numFmtId="0" fontId="27" fillId="0" borderId="33" xfId="4" applyFont="1" applyFill="1" applyBorder="1" applyAlignment="1">
      <alignment horizontal="left" indent="1"/>
    </xf>
    <xf numFmtId="0" fontId="27" fillId="0" borderId="34" xfId="4" applyFont="1" applyFill="1" applyBorder="1" applyAlignment="1">
      <alignment horizontal="center"/>
    </xf>
    <xf numFmtId="0" fontId="27" fillId="2" borderId="35" xfId="4" applyFont="1" applyFill="1" applyBorder="1" applyAlignment="1">
      <alignment horizontal="center"/>
    </xf>
    <xf numFmtId="3" fontId="27" fillId="0" borderId="36" xfId="4" applyNumberFormat="1" applyFont="1" applyFill="1" applyBorder="1" applyAlignment="1">
      <alignment horizontal="right" indent="1"/>
    </xf>
    <xf numFmtId="3" fontId="27" fillId="0" borderId="37" xfId="4" applyNumberFormat="1" applyFont="1" applyFill="1" applyBorder="1" applyAlignment="1">
      <alignment horizontal="right" indent="1"/>
    </xf>
    <xf numFmtId="3" fontId="27" fillId="0" borderId="38" xfId="4" applyNumberFormat="1" applyFont="1" applyFill="1" applyBorder="1" applyAlignment="1">
      <alignment horizontal="right" indent="1"/>
    </xf>
    <xf numFmtId="3" fontId="27" fillId="0" borderId="39" xfId="4" applyNumberFormat="1" applyFont="1" applyFill="1" applyBorder="1" applyAlignment="1">
      <alignment horizontal="right" indent="1"/>
    </xf>
    <xf numFmtId="3" fontId="27" fillId="0" borderId="33" xfId="4" applyNumberFormat="1" applyFont="1" applyFill="1" applyBorder="1" applyAlignment="1">
      <alignment horizontal="right" indent="1"/>
    </xf>
    <xf numFmtId="3" fontId="27" fillId="0" borderId="34" xfId="4" applyNumberFormat="1" applyFont="1" applyFill="1" applyBorder="1" applyAlignment="1">
      <alignment horizontal="right" indent="1"/>
    </xf>
    <xf numFmtId="3" fontId="19" fillId="0" borderId="0" xfId="0" applyNumberFormat="1" applyFont="1"/>
    <xf numFmtId="0" fontId="28" fillId="0" borderId="0" xfId="4" applyFont="1"/>
    <xf numFmtId="0" fontId="22" fillId="0" borderId="34" xfId="4" applyFont="1" applyFill="1" applyBorder="1" applyAlignment="1">
      <alignment horizontal="center" vertical="center"/>
    </xf>
    <xf numFmtId="0" fontId="22" fillId="2" borderId="35" xfId="4" applyFont="1" applyFill="1" applyBorder="1" applyAlignment="1">
      <alignment horizontal="center" vertical="center"/>
    </xf>
    <xf numFmtId="3" fontId="22" fillId="0" borderId="36" xfId="4" applyNumberFormat="1" applyFont="1" applyFill="1" applyBorder="1" applyAlignment="1">
      <alignment horizontal="right" vertical="center" indent="1"/>
    </xf>
    <xf numFmtId="3" fontId="22" fillId="0" borderId="37" xfId="4" applyNumberFormat="1" applyFont="1" applyFill="1" applyBorder="1" applyAlignment="1">
      <alignment horizontal="right" vertical="center" indent="1"/>
    </xf>
    <xf numFmtId="3" fontId="22" fillId="0" borderId="38" xfId="4" applyNumberFormat="1" applyFont="1" applyFill="1" applyBorder="1" applyAlignment="1">
      <alignment horizontal="right" vertical="center" indent="1"/>
    </xf>
    <xf numFmtId="3" fontId="22" fillId="0" borderId="39" xfId="4" applyNumberFormat="1" applyFont="1" applyFill="1" applyBorder="1" applyAlignment="1">
      <alignment horizontal="right" vertical="center" indent="1"/>
    </xf>
    <xf numFmtId="3" fontId="22" fillId="0" borderId="33" xfId="4" applyNumberFormat="1" applyFont="1" applyFill="1" applyBorder="1" applyAlignment="1">
      <alignment horizontal="right" vertical="center" indent="1"/>
    </xf>
    <xf numFmtId="3" fontId="22" fillId="0" borderId="34" xfId="4" applyNumberFormat="1" applyFont="1" applyFill="1" applyBorder="1" applyAlignment="1">
      <alignment horizontal="right" vertical="center" indent="1"/>
    </xf>
    <xf numFmtId="0" fontId="29" fillId="0" borderId="34" xfId="4" applyFont="1" applyFill="1" applyBorder="1" applyAlignment="1">
      <alignment horizontal="center"/>
    </xf>
    <xf numFmtId="0" fontId="29" fillId="2" borderId="35" xfId="4" applyFont="1" applyFill="1" applyBorder="1" applyAlignment="1">
      <alignment horizontal="center"/>
    </xf>
    <xf numFmtId="3" fontId="29" fillId="0" borderId="36" xfId="4" applyNumberFormat="1" applyFont="1" applyFill="1" applyBorder="1" applyAlignment="1">
      <alignment horizontal="right" indent="1"/>
    </xf>
    <xf numFmtId="3" fontId="29" fillId="0" borderId="37" xfId="4" applyNumberFormat="1" applyFont="1" applyFill="1" applyBorder="1" applyAlignment="1">
      <alignment horizontal="right" indent="1"/>
    </xf>
    <xf numFmtId="3" fontId="29" fillId="0" borderId="38" xfId="4" applyNumberFormat="1" applyFont="1" applyFill="1" applyBorder="1" applyAlignment="1">
      <alignment horizontal="right" indent="1"/>
    </xf>
    <xf numFmtId="3" fontId="29" fillId="0" borderId="39" xfId="4" applyNumberFormat="1" applyFont="1" applyFill="1" applyBorder="1" applyAlignment="1">
      <alignment horizontal="right" indent="1"/>
    </xf>
    <xf numFmtId="3" fontId="29" fillId="0" borderId="33" xfId="4" applyNumberFormat="1" applyFont="1" applyFill="1" applyBorder="1" applyAlignment="1">
      <alignment horizontal="right" indent="1"/>
    </xf>
    <xf numFmtId="3" fontId="29" fillId="0" borderId="34" xfId="4" applyNumberFormat="1" applyFont="1" applyFill="1" applyBorder="1" applyAlignment="1">
      <alignment horizontal="right" indent="1"/>
    </xf>
    <xf numFmtId="0" fontId="22" fillId="0" borderId="41" xfId="4" applyFont="1" applyFill="1" applyBorder="1" applyAlignment="1">
      <alignment horizontal="left" indent="1"/>
    </xf>
    <xf numFmtId="0" fontId="22" fillId="0" borderId="42" xfId="4" applyFont="1" applyFill="1" applyBorder="1" applyAlignment="1">
      <alignment horizontal="center"/>
    </xf>
    <xf numFmtId="0" fontId="22" fillId="2" borderId="43" xfId="4" applyFont="1" applyFill="1" applyBorder="1" applyAlignment="1">
      <alignment horizontal="center"/>
    </xf>
    <xf numFmtId="3" fontId="22" fillId="0" borderId="44" xfId="4" applyNumberFormat="1" applyFont="1" applyFill="1" applyBorder="1" applyAlignment="1">
      <alignment horizontal="right" indent="1"/>
    </xf>
    <xf numFmtId="3" fontId="22" fillId="0" borderId="45" xfId="4" applyNumberFormat="1" applyFont="1" applyFill="1" applyBorder="1" applyAlignment="1">
      <alignment horizontal="right" indent="1"/>
    </xf>
    <xf numFmtId="3" fontId="22" fillId="0" borderId="46" xfId="4" applyNumberFormat="1" applyFont="1" applyFill="1" applyBorder="1" applyAlignment="1">
      <alignment horizontal="right" indent="1"/>
    </xf>
    <xf numFmtId="3" fontId="22" fillId="0" borderId="47" xfId="4" applyNumberFormat="1" applyFont="1" applyFill="1" applyBorder="1" applyAlignment="1">
      <alignment horizontal="right" indent="1"/>
    </xf>
    <xf numFmtId="3" fontId="22" fillId="0" borderId="41" xfId="4" applyNumberFormat="1" applyFont="1" applyFill="1" applyBorder="1" applyAlignment="1">
      <alignment horizontal="right" indent="1"/>
    </xf>
    <xf numFmtId="3" fontId="22" fillId="0" borderId="42" xfId="4" applyNumberFormat="1" applyFont="1" applyFill="1" applyBorder="1" applyAlignment="1">
      <alignment horizontal="right" indent="1"/>
    </xf>
    <xf numFmtId="0" fontId="24" fillId="0" borderId="48" xfId="4" applyFont="1" applyFill="1" applyBorder="1" applyAlignment="1">
      <alignment horizontal="center" vertical="center"/>
    </xf>
    <xf numFmtId="0" fontId="25" fillId="2" borderId="27" xfId="4" applyFont="1" applyFill="1" applyBorder="1" applyAlignment="1">
      <alignment horizontal="center"/>
    </xf>
    <xf numFmtId="0" fontId="26" fillId="0" borderId="32" xfId="4" applyFont="1" applyFill="1" applyBorder="1" applyAlignment="1">
      <alignment horizontal="center" vertical="center"/>
    </xf>
    <xf numFmtId="0" fontId="25" fillId="0" borderId="33" xfId="4" applyFont="1" applyFill="1" applyBorder="1" applyAlignment="1">
      <alignment horizontal="left" indent="1"/>
    </xf>
    <xf numFmtId="0" fontId="25" fillId="0" borderId="34" xfId="4" applyFont="1" applyFill="1" applyBorder="1" applyAlignment="1">
      <alignment horizontal="center"/>
    </xf>
    <xf numFmtId="0" fontId="25" fillId="2" borderId="35" xfId="4" applyFont="1" applyFill="1" applyBorder="1" applyAlignment="1">
      <alignment horizontal="center"/>
    </xf>
    <xf numFmtId="3" fontId="25" fillId="0" borderId="36" xfId="4" applyNumberFormat="1" applyFont="1" applyFill="1" applyBorder="1" applyAlignment="1">
      <alignment horizontal="right" indent="1"/>
    </xf>
    <xf numFmtId="3" fontId="25" fillId="0" borderId="37" xfId="4" applyNumberFormat="1" applyFont="1" applyFill="1" applyBorder="1" applyAlignment="1">
      <alignment horizontal="right" indent="1"/>
    </xf>
    <xf numFmtId="3" fontId="25" fillId="0" borderId="38" xfId="4" applyNumberFormat="1" applyFont="1" applyFill="1" applyBorder="1" applyAlignment="1">
      <alignment horizontal="right" indent="1"/>
    </xf>
    <xf numFmtId="3" fontId="25" fillId="0" borderId="39" xfId="4" applyNumberFormat="1" applyFont="1" applyFill="1" applyBorder="1" applyAlignment="1">
      <alignment horizontal="right" indent="1"/>
    </xf>
    <xf numFmtId="3" fontId="25" fillId="0" borderId="33" xfId="4" applyNumberFormat="1" applyFont="1" applyFill="1" applyBorder="1" applyAlignment="1">
      <alignment horizontal="right" indent="1"/>
    </xf>
    <xf numFmtId="3" fontId="25" fillId="0" borderId="34" xfId="4" applyNumberFormat="1" applyFont="1" applyFill="1" applyBorder="1" applyAlignment="1">
      <alignment horizontal="right" indent="1"/>
    </xf>
    <xf numFmtId="0" fontId="26" fillId="0" borderId="40" xfId="4" applyFont="1" applyFill="1" applyBorder="1" applyAlignment="1">
      <alignment horizontal="center" vertical="center"/>
    </xf>
    <xf numFmtId="0" fontId="13" fillId="0" borderId="41" xfId="4" applyFont="1" applyFill="1" applyBorder="1" applyAlignment="1">
      <alignment horizontal="left" indent="1"/>
    </xf>
    <xf numFmtId="0" fontId="13" fillId="0" borderId="9" xfId="4" applyFont="1" applyFill="1" applyBorder="1" applyAlignment="1">
      <alignment horizontal="left" indent="1"/>
    </xf>
    <xf numFmtId="0" fontId="13" fillId="0" borderId="15" xfId="4" applyFont="1" applyFill="1" applyBorder="1" applyAlignment="1">
      <alignment horizontal="center"/>
    </xf>
    <xf numFmtId="0" fontId="13" fillId="2" borderId="16" xfId="4" applyFont="1" applyFill="1" applyBorder="1" applyAlignment="1">
      <alignment horizontal="center"/>
    </xf>
    <xf numFmtId="3" fontId="13" fillId="0" borderId="57" xfId="4" applyNumberFormat="1" applyFont="1" applyFill="1" applyBorder="1" applyAlignment="1">
      <alignment horizontal="right" indent="1"/>
    </xf>
    <xf numFmtId="3" fontId="13" fillId="0" borderId="58" xfId="4" applyNumberFormat="1" applyFont="1" applyFill="1" applyBorder="1" applyAlignment="1">
      <alignment horizontal="right" indent="1"/>
    </xf>
    <xf numFmtId="3" fontId="13" fillId="0" borderId="59" xfId="4" applyNumberFormat="1" applyFont="1" applyFill="1" applyBorder="1" applyAlignment="1">
      <alignment horizontal="right" indent="1"/>
    </xf>
    <xf numFmtId="3" fontId="13" fillId="0" borderId="60" xfId="4" applyNumberFormat="1" applyFont="1" applyFill="1" applyBorder="1" applyAlignment="1">
      <alignment horizontal="right" indent="1"/>
    </xf>
    <xf numFmtId="3" fontId="13" fillId="0" borderId="9" xfId="4" applyNumberFormat="1" applyFont="1" applyFill="1" applyBorder="1" applyAlignment="1">
      <alignment horizontal="right" indent="1"/>
    </xf>
    <xf numFmtId="3" fontId="13" fillId="0" borderId="15" xfId="4" applyNumberFormat="1" applyFont="1" applyFill="1" applyBorder="1" applyAlignment="1">
      <alignment horizontal="right" indent="1"/>
    </xf>
    <xf numFmtId="0" fontId="19" fillId="0" borderId="20" xfId="4" applyFont="1" applyFill="1" applyBorder="1" applyAlignment="1">
      <alignment horizontal="center" vertical="center"/>
    </xf>
    <xf numFmtId="0" fontId="13" fillId="0" borderId="61" xfId="4" applyFont="1" applyFill="1" applyBorder="1" applyAlignment="1">
      <alignment horizontal="left" indent="1"/>
    </xf>
    <xf numFmtId="0" fontId="13" fillId="0" borderId="62" xfId="4" applyFont="1" applyFill="1" applyBorder="1" applyAlignment="1">
      <alignment horizontal="center"/>
    </xf>
    <xf numFmtId="0" fontId="13" fillId="2" borderId="63" xfId="4" applyFont="1" applyFill="1" applyBorder="1" applyAlignment="1">
      <alignment horizontal="center"/>
    </xf>
    <xf numFmtId="3" fontId="13" fillId="0" borderId="64" xfId="4" applyNumberFormat="1" applyFont="1" applyFill="1" applyBorder="1" applyAlignment="1">
      <alignment horizontal="right" indent="1"/>
    </xf>
    <xf numFmtId="3" fontId="13" fillId="0" borderId="65" xfId="4" applyNumberFormat="1" applyFont="1" applyFill="1" applyBorder="1" applyAlignment="1">
      <alignment horizontal="right" indent="1"/>
    </xf>
    <xf numFmtId="3" fontId="13" fillId="0" borderId="66" xfId="4" applyNumberFormat="1" applyFont="1" applyFill="1" applyBorder="1" applyAlignment="1">
      <alignment horizontal="right" indent="1"/>
    </xf>
    <xf numFmtId="3" fontId="13" fillId="0" borderId="67" xfId="4" applyNumberFormat="1" applyFont="1" applyFill="1" applyBorder="1" applyAlignment="1">
      <alignment horizontal="right" indent="1"/>
    </xf>
    <xf numFmtId="3" fontId="13" fillId="0" borderId="61" xfId="4" applyNumberFormat="1" applyFont="1" applyFill="1" applyBorder="1" applyAlignment="1">
      <alignment horizontal="right" indent="1"/>
    </xf>
    <xf numFmtId="3" fontId="13" fillId="0" borderId="62" xfId="4" applyNumberFormat="1" applyFont="1" applyFill="1" applyBorder="1" applyAlignment="1">
      <alignment horizontal="right" indent="1"/>
    </xf>
    <xf numFmtId="0" fontId="19" fillId="0" borderId="68" xfId="4" applyFont="1" applyFill="1" applyBorder="1" applyAlignment="1">
      <alignment horizontal="center" vertical="center"/>
    </xf>
    <xf numFmtId="0" fontId="22" fillId="0" borderId="25" xfId="4" applyFont="1" applyFill="1" applyBorder="1" applyAlignment="1">
      <alignment horizontal="left" vertical="center" wrapText="1" indent="1"/>
    </xf>
    <xf numFmtId="0" fontId="22" fillId="0" borderId="49" xfId="4" applyFont="1" applyFill="1" applyBorder="1" applyAlignment="1">
      <alignment horizontal="left" vertical="center" wrapText="1" indent="1"/>
    </xf>
    <xf numFmtId="0" fontId="22" fillId="0" borderId="41" xfId="4" applyFont="1" applyFill="1" applyBorder="1" applyAlignment="1">
      <alignment horizontal="left" vertical="center" wrapText="1" indent="1"/>
    </xf>
    <xf numFmtId="0" fontId="28" fillId="0" borderId="25" xfId="4" applyFont="1" applyFill="1" applyBorder="1" applyAlignment="1">
      <alignment horizontal="left" indent="1"/>
    </xf>
    <xf numFmtId="0" fontId="28" fillId="0" borderId="26" xfId="4" applyFont="1" applyFill="1" applyBorder="1" applyAlignment="1">
      <alignment horizontal="center"/>
    </xf>
    <xf numFmtId="0" fontId="28" fillId="2" borderId="27" xfId="4" applyFont="1" applyFill="1" applyBorder="1" applyAlignment="1">
      <alignment horizontal="center"/>
    </xf>
    <xf numFmtId="3" fontId="28" fillId="0" borderId="28" xfId="4" applyNumberFormat="1" applyFont="1" applyFill="1" applyBorder="1" applyAlignment="1">
      <alignment horizontal="right" indent="1"/>
    </xf>
    <xf numFmtId="3" fontId="28" fillId="0" borderId="29" xfId="4" applyNumberFormat="1" applyFont="1" applyFill="1" applyBorder="1" applyAlignment="1">
      <alignment horizontal="right" indent="1"/>
    </xf>
    <xf numFmtId="3" fontId="28" fillId="0" borderId="30" xfId="4" applyNumberFormat="1" applyFont="1" applyFill="1" applyBorder="1" applyAlignment="1">
      <alignment horizontal="right" indent="1"/>
    </xf>
    <xf numFmtId="3" fontId="28" fillId="0" borderId="31" xfId="4" applyNumberFormat="1" applyFont="1" applyFill="1" applyBorder="1" applyAlignment="1">
      <alignment horizontal="right" indent="1"/>
    </xf>
    <xf numFmtId="3" fontId="28" fillId="0" borderId="25" xfId="4" applyNumberFormat="1" applyFont="1" applyFill="1" applyBorder="1" applyAlignment="1">
      <alignment horizontal="right" indent="1"/>
    </xf>
    <xf numFmtId="3" fontId="28" fillId="0" borderId="26" xfId="4" applyNumberFormat="1" applyFont="1" applyFill="1" applyBorder="1" applyAlignment="1">
      <alignment horizontal="right" indent="1"/>
    </xf>
    <xf numFmtId="0" fontId="13" fillId="0" borderId="41" xfId="4" applyFont="1" applyFill="1" applyBorder="1" applyAlignment="1">
      <alignment horizontal="left" vertical="center" wrapText="1" indent="1"/>
    </xf>
    <xf numFmtId="0" fontId="13" fillId="0" borderId="25" xfId="4" applyFont="1" applyFill="1" applyBorder="1" applyAlignment="1">
      <alignment horizontal="left" vertical="center" wrapText="1" indent="1"/>
    </xf>
    <xf numFmtId="0" fontId="13" fillId="0" borderId="26" xfId="4" applyFont="1" applyFill="1" applyBorder="1" applyAlignment="1">
      <alignment horizontal="center" vertical="center"/>
    </xf>
    <xf numFmtId="0" fontId="13" fillId="2" borderId="27" xfId="4" applyFont="1" applyFill="1" applyBorder="1" applyAlignment="1">
      <alignment horizontal="center" vertical="center"/>
    </xf>
    <xf numFmtId="3" fontId="13" fillId="0" borderId="28" xfId="4" applyNumberFormat="1" applyFont="1" applyFill="1" applyBorder="1" applyAlignment="1">
      <alignment horizontal="right" vertical="center" indent="1"/>
    </xf>
    <xf numFmtId="3" fontId="13" fillId="0" borderId="29" xfId="4" applyNumberFormat="1" applyFont="1" applyFill="1" applyBorder="1" applyAlignment="1">
      <alignment horizontal="right" vertical="center" indent="1"/>
    </xf>
    <xf numFmtId="3" fontId="13" fillId="0" borderId="30" xfId="4" applyNumberFormat="1" applyFont="1" applyFill="1" applyBorder="1" applyAlignment="1">
      <alignment horizontal="right" vertical="center" indent="1"/>
    </xf>
    <xf numFmtId="3" fontId="13" fillId="0" borderId="31" xfId="4" applyNumberFormat="1" applyFont="1" applyFill="1" applyBorder="1" applyAlignment="1">
      <alignment horizontal="right" vertical="center" indent="1"/>
    </xf>
    <xf numFmtId="3" fontId="13" fillId="0" borderId="25" xfId="4" applyNumberFormat="1" applyFont="1" applyFill="1" applyBorder="1" applyAlignment="1">
      <alignment horizontal="right" vertical="center" indent="1"/>
    </xf>
    <xf numFmtId="3" fontId="13" fillId="0" borderId="26" xfId="4" applyNumberFormat="1" applyFont="1" applyFill="1" applyBorder="1" applyAlignment="1">
      <alignment horizontal="right" vertical="center" indent="1"/>
    </xf>
    <xf numFmtId="0" fontId="13" fillId="0" borderId="61" xfId="4" applyFont="1" applyFill="1" applyBorder="1" applyAlignment="1">
      <alignment horizontal="left" vertical="center" indent="1"/>
    </xf>
    <xf numFmtId="0" fontId="13" fillId="0" borderId="63" xfId="4" applyFont="1" applyFill="1" applyBorder="1" applyAlignment="1">
      <alignment horizontal="center"/>
    </xf>
    <xf numFmtId="3" fontId="13" fillId="0" borderId="69" xfId="4" applyNumberFormat="1" applyFont="1" applyFill="1" applyBorder="1" applyAlignment="1">
      <alignment horizontal="right" indent="1"/>
    </xf>
    <xf numFmtId="3" fontId="13" fillId="0" borderId="63" xfId="4" applyNumberFormat="1" applyFont="1" applyFill="1" applyBorder="1" applyAlignment="1">
      <alignment horizontal="right" indent="1"/>
    </xf>
    <xf numFmtId="0" fontId="13" fillId="0" borderId="43" xfId="4" applyFont="1" applyFill="1" applyBorder="1" applyAlignment="1">
      <alignment horizontal="center"/>
    </xf>
    <xf numFmtId="3" fontId="13" fillId="0" borderId="70" xfId="4" applyNumberFormat="1" applyFont="1" applyFill="1" applyBorder="1" applyAlignment="1">
      <alignment horizontal="right" indent="1"/>
    </xf>
    <xf numFmtId="3" fontId="13" fillId="0" borderId="43" xfId="4" applyNumberFormat="1" applyFont="1" applyFill="1" applyBorder="1" applyAlignment="1">
      <alignment horizontal="right" indent="1"/>
    </xf>
    <xf numFmtId="0" fontId="1" fillId="3" borderId="71" xfId="4" applyFont="1" applyFill="1" applyBorder="1"/>
    <xf numFmtId="0" fontId="1" fillId="3" borderId="71" xfId="4" applyFont="1" applyFill="1" applyBorder="1" applyAlignment="1">
      <alignment horizontal="center"/>
    </xf>
    <xf numFmtId="3" fontId="1" fillId="3" borderId="71" xfId="4" applyNumberFormat="1" applyFont="1" applyFill="1" applyBorder="1" applyAlignment="1">
      <alignment horizontal="right" indent="1"/>
    </xf>
    <xf numFmtId="3" fontId="1" fillId="3" borderId="72" xfId="4" applyNumberFormat="1" applyFont="1" applyFill="1" applyBorder="1" applyAlignment="1">
      <alignment horizontal="right" indent="1"/>
    </xf>
    <xf numFmtId="3" fontId="20" fillId="3" borderId="73" xfId="4" applyNumberFormat="1" applyFont="1" applyFill="1" applyBorder="1" applyAlignment="1">
      <alignment horizontal="center" vertical="center"/>
    </xf>
    <xf numFmtId="3" fontId="1" fillId="3" borderId="74" xfId="4" applyNumberFormat="1" applyFont="1" applyFill="1" applyBorder="1" applyAlignment="1">
      <alignment horizontal="right" indent="1"/>
    </xf>
    <xf numFmtId="3" fontId="1" fillId="3" borderId="75" xfId="4" applyNumberFormat="1" applyFont="1" applyFill="1" applyBorder="1" applyAlignment="1">
      <alignment horizontal="right" indent="1"/>
    </xf>
    <xf numFmtId="0" fontId="30" fillId="0" borderId="0" xfId="4" applyFont="1" applyFill="1" applyAlignment="1">
      <alignment horizontal="right"/>
    </xf>
    <xf numFmtId="0" fontId="30" fillId="0" borderId="0" xfId="4" applyFont="1" applyFill="1" applyAlignment="1">
      <alignment horizontal="center"/>
    </xf>
    <xf numFmtId="3" fontId="30" fillId="0" borderId="0" xfId="4" applyNumberFormat="1" applyFont="1" applyFill="1" applyAlignment="1">
      <alignment horizontal="right" indent="1"/>
    </xf>
    <xf numFmtId="3" fontId="31" fillId="0" borderId="0" xfId="4" applyNumberFormat="1" applyFont="1" applyFill="1" applyAlignment="1">
      <alignment horizontal="center" vertical="center"/>
    </xf>
    <xf numFmtId="0" fontId="31" fillId="0" borderId="0" xfId="4" applyFont="1"/>
    <xf numFmtId="3" fontId="31" fillId="0" borderId="0" xfId="0" applyNumberFormat="1" applyFont="1"/>
    <xf numFmtId="0" fontId="30" fillId="0" borderId="0" xfId="4" applyFont="1"/>
    <xf numFmtId="0" fontId="32" fillId="0" borderId="0" xfId="4" applyFont="1" applyAlignment="1">
      <alignment vertical="center"/>
    </xf>
    <xf numFmtId="0" fontId="13" fillId="0" borderId="0" xfId="4" applyFill="1" applyAlignment="1">
      <alignment horizontal="center"/>
    </xf>
    <xf numFmtId="3" fontId="13" fillId="0" borderId="0" xfId="4" applyNumberFormat="1" applyFill="1" applyAlignment="1">
      <alignment horizontal="right" indent="1"/>
    </xf>
    <xf numFmtId="0" fontId="19" fillId="0" borderId="0" xfId="4" applyFont="1" applyFill="1" applyAlignment="1">
      <alignment horizontal="center" vertical="center"/>
    </xf>
    <xf numFmtId="0" fontId="33" fillId="0" borderId="0" xfId="4" applyFont="1" applyAlignment="1">
      <alignment vertical="center"/>
    </xf>
    <xf numFmtId="3" fontId="17" fillId="0" borderId="0" xfId="4" applyNumberFormat="1" applyFont="1" applyFill="1" applyAlignment="1">
      <alignment horizontal="right" indent="1"/>
    </xf>
    <xf numFmtId="0" fontId="13" fillId="0" borderId="0" xfId="4" applyFill="1"/>
    <xf numFmtId="0" fontId="6" fillId="4" borderId="0" xfId="1" applyFill="1" applyAlignment="1">
      <alignment wrapText="1"/>
    </xf>
    <xf numFmtId="0" fontId="0" fillId="0" borderId="0" xfId="0" applyFill="1" applyAlignment="1">
      <alignment vertical="top" wrapText="1"/>
    </xf>
    <xf numFmtId="166" fontId="0" fillId="0" borderId="1" xfId="3" applyNumberFormat="1" applyFont="1" applyFill="1" applyBorder="1"/>
    <xf numFmtId="0" fontId="0" fillId="0" borderId="0" xfId="0" applyFill="1"/>
    <xf numFmtId="166" fontId="0" fillId="0" borderId="0" xfId="3" applyNumberFormat="1" applyFont="1" applyFill="1"/>
    <xf numFmtId="166" fontId="0" fillId="0" borderId="0" xfId="0" applyNumberFormat="1" applyFill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0" fillId="2" borderId="1" xfId="0" applyNumberFormat="1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2" fillId="0" borderId="7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77" xfId="0" applyFont="1" applyBorder="1" applyAlignment="1">
      <alignment horizontal="left" vertical="top"/>
    </xf>
    <xf numFmtId="0" fontId="2" fillId="0" borderId="78" xfId="0" applyFont="1" applyBorder="1" applyAlignment="1">
      <alignment horizontal="left" vertical="top" wrapText="1"/>
    </xf>
    <xf numFmtId="0" fontId="2" fillId="0" borderId="79" xfId="0" applyFont="1" applyBorder="1" applyAlignment="1">
      <alignment horizontal="left" vertical="top"/>
    </xf>
    <xf numFmtId="0" fontId="2" fillId="0" borderId="80" xfId="0" applyFont="1" applyBorder="1" applyAlignment="1">
      <alignment horizontal="left" vertical="top"/>
    </xf>
    <xf numFmtId="0" fontId="0" fillId="0" borderId="11" xfId="0" applyFill="1" applyBorder="1"/>
    <xf numFmtId="0" fontId="6" fillId="0" borderId="11" xfId="1" applyFill="1" applyBorder="1"/>
    <xf numFmtId="0" fontId="1" fillId="3" borderId="0" xfId="0" applyFont="1" applyFill="1" applyBorder="1" applyAlignment="1">
      <alignment horizontal="center" vertical="center" wrapText="1"/>
    </xf>
    <xf numFmtId="165" fontId="1" fillId="3" borderId="0" xfId="2" applyNumberFormat="1" applyFont="1" applyFill="1" applyBorder="1" applyAlignment="1">
      <alignment horizontal="center" vertical="center" wrapText="1"/>
    </xf>
    <xf numFmtId="0" fontId="6" fillId="0" borderId="0" xfId="1" applyFill="1" applyBorder="1"/>
    <xf numFmtId="0" fontId="0" fillId="0" borderId="0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8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5" borderId="0" xfId="1" applyFill="1" applyBorder="1" applyAlignment="1">
      <alignment horizontal="center"/>
    </xf>
    <xf numFmtId="0" fontId="1" fillId="0" borderId="1" xfId="0" applyFont="1" applyFill="1" applyBorder="1" applyAlignment="1">
      <alignment vertical="top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8">
    <cellStyle name="Обычный" xfId="0" builtinId="0"/>
    <cellStyle name="Обычный 2" xfId="1" xr:uid="{8B2CDA17-1602-41F6-AE41-4357A6D72F81}"/>
    <cellStyle name="Обычный 2 2" xfId="4" xr:uid="{25395D46-E667-4BEF-ACDD-5029C03F0F10}"/>
    <cellStyle name="Обычный 2 2 2" xfId="6" xr:uid="{1A8E854C-3C5E-4CCF-8E4A-2FC05D1594DB}"/>
    <cellStyle name="Обычный 4" xfId="5" xr:uid="{56F5263C-5659-453C-85AC-664AE8CA5CC7}"/>
    <cellStyle name="Обычный 6" xfId="7" xr:uid="{7CA00570-868A-4000-A893-CEC1D4C3B604}"/>
    <cellStyle name="Финансовый" xfId="3" builtinId="3"/>
    <cellStyle name="Финансовый 2" xfId="2" xr:uid="{563A52F1-E121-4E07-A18C-1AAFD730D7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121920</xdr:rowOff>
    </xdr:from>
    <xdr:to>
      <xdr:col>2</xdr:col>
      <xdr:colOff>5334000</xdr:colOff>
      <xdr:row>8</xdr:row>
      <xdr:rowOff>98880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87DF56-B9F4-4482-9EDE-70C02FC7C52C}"/>
            </a:ext>
          </a:extLst>
        </xdr:cNvPr>
        <xdr:cNvSpPr txBox="1"/>
      </xdr:nvSpPr>
      <xdr:spPr>
        <a:xfrm>
          <a:off x="53340" y="121920"/>
          <a:ext cx="6721533" cy="1417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Перечень лотов:</a:t>
          </a:r>
          <a:endParaRPr lang="ru-RU">
            <a:effectLst/>
          </a:endParaRPr>
        </a:p>
        <a:p>
          <a:r>
            <a:rPr lang="ru-RU" sz="1100" b="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Лот 1: Пассажирские перевозки по г. Тольятти, согласно маршрутам указанным в приложении</a:t>
          </a:r>
          <a:endParaRPr lang="ru-RU">
            <a:effectLst/>
          </a:endParaRPr>
        </a:p>
      </xdr:txBody>
    </xdr:sp>
    <xdr:clientData/>
  </xdr:twoCellAnchor>
  <xdr:twoCellAnchor>
    <xdr:from>
      <xdr:col>3</xdr:col>
      <xdr:colOff>0</xdr:colOff>
      <xdr:row>0</xdr:row>
      <xdr:rowOff>121920</xdr:rowOff>
    </xdr:from>
    <xdr:to>
      <xdr:col>3</xdr:col>
      <xdr:colOff>0</xdr:colOff>
      <xdr:row>8</xdr:row>
      <xdr:rowOff>98880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F71A15-ED7C-4843-AB3F-E49FA5B96D44}"/>
            </a:ext>
          </a:extLst>
        </xdr:cNvPr>
        <xdr:cNvSpPr txBox="1"/>
      </xdr:nvSpPr>
      <xdr:spPr>
        <a:xfrm>
          <a:off x="7389495" y="121920"/>
          <a:ext cx="3850005" cy="1500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i="1">
              <a:solidFill>
                <a:srgbClr val="FF0000"/>
              </a:solidFill>
            </a:rPr>
            <a:t>Наименование</a:t>
          </a:r>
          <a:r>
            <a:rPr lang="ru-RU" sz="1100" i="1" baseline="0">
              <a:solidFill>
                <a:srgbClr val="FF0000"/>
              </a:solidFill>
            </a:rPr>
            <a:t> предприятия-поставщика</a:t>
          </a:r>
        </a:p>
        <a:p>
          <a:r>
            <a:rPr lang="ru-RU" sz="1100" i="1" baseline="0">
              <a:solidFill>
                <a:srgbClr val="FF0000"/>
              </a:solidFill>
            </a:rPr>
            <a:t>ФИО ответственного (технический заказчик)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и прочая инф о поставщике</a:t>
          </a:r>
          <a:endParaRPr lang="ru-RU" i="1">
            <a:solidFill>
              <a:srgbClr val="FF0000"/>
            </a:solidFill>
            <a:effectLst/>
          </a:endParaRPr>
        </a:p>
        <a:p>
          <a:endParaRPr lang="ru-RU" sz="1100" i="1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53340</xdr:colOff>
      <xdr:row>9</xdr:row>
      <xdr:rowOff>22860</xdr:rowOff>
    </xdr:from>
    <xdr:to>
      <xdr:col>5</xdr:col>
      <xdr:colOff>0</xdr:colOff>
      <xdr:row>15</xdr:row>
      <xdr:rowOff>121920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5D79A3-EF0E-4452-B62D-C7B3C41420AD}"/>
            </a:ext>
          </a:extLst>
        </xdr:cNvPr>
        <xdr:cNvSpPr txBox="1"/>
      </xdr:nvSpPr>
      <xdr:spPr>
        <a:xfrm>
          <a:off x="53340" y="1636507"/>
          <a:ext cx="15097013" cy="1174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ru-RU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Предмет тендера:</a:t>
          </a:r>
          <a:r>
            <a:rPr lang="ru-RU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Услуги корпоративных</a:t>
          </a:r>
          <a:r>
            <a:rPr lang="ru-RU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пассажирских перевозок сотрудников ГК Акрон Холдинг</a:t>
          </a:r>
          <a:endParaRPr lang="ru-RU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Тендерная процедур: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Запрос коммерческих предложений в соответствии с ТЗ</a:t>
          </a:r>
          <a:endParaRPr lang="ru-RU" sz="1100" i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35859</xdr:colOff>
      <xdr:row>0</xdr:row>
      <xdr:rowOff>26894</xdr:rowOff>
    </xdr:from>
    <xdr:to>
      <xdr:col>5</xdr:col>
      <xdr:colOff>0</xdr:colOff>
      <xdr:row>8</xdr:row>
      <xdr:rowOff>98880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CC152B-21CC-408E-B696-FD6DE3F51EF9}"/>
            </a:ext>
          </a:extLst>
        </xdr:cNvPr>
        <xdr:cNvSpPr txBox="1"/>
      </xdr:nvSpPr>
      <xdr:spPr>
        <a:xfrm>
          <a:off x="8013999" y="26894"/>
          <a:ext cx="7678719" cy="1535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i="1">
              <a:solidFill>
                <a:srgbClr val="FF0000"/>
              </a:solidFill>
            </a:rPr>
            <a:t>Наименование</a:t>
          </a:r>
          <a:r>
            <a:rPr lang="ru-RU" sz="1100" i="1" baseline="0">
              <a:solidFill>
                <a:srgbClr val="FF0000"/>
              </a:solidFill>
            </a:rPr>
            <a:t> предприятия-поставщика</a:t>
          </a:r>
        </a:p>
        <a:p>
          <a:r>
            <a:rPr lang="ru-RU" sz="1100" i="1" baseline="0">
              <a:solidFill>
                <a:srgbClr val="FF0000"/>
              </a:solidFill>
            </a:rPr>
            <a:t>ФИО ответственного (технический заказчик)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и прочая инф о поставщике</a:t>
          </a:r>
          <a:endParaRPr lang="ru-RU" i="1">
            <a:solidFill>
              <a:srgbClr val="FF0000"/>
            </a:solidFill>
            <a:effectLst/>
          </a:endParaRPr>
        </a:p>
        <a:p>
          <a:endParaRPr lang="ru-RU" sz="1100" i="1" baseline="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83F3-C52F-4DD4-A251-AD3420BD19F2}">
  <sheetPr>
    <pageSetUpPr fitToPage="1"/>
  </sheetPr>
  <dimension ref="A2:E78"/>
  <sheetViews>
    <sheetView tabSelected="1" zoomScale="80" zoomScaleNormal="80" zoomScaleSheetLayoutView="70" workbookViewId="0">
      <selection activeCell="D32" sqref="D32"/>
    </sheetView>
  </sheetViews>
  <sheetFormatPr defaultColWidth="8.85546875" defaultRowHeight="15" outlineLevelRow="1" x14ac:dyDescent="0.25"/>
  <cols>
    <col min="1" max="1" width="10" style="12" customWidth="1"/>
    <col min="2" max="2" width="10.85546875" style="18" customWidth="1"/>
    <col min="3" max="3" width="89.28515625" style="18" customWidth="1"/>
    <col min="4" max="4" width="42.7109375" style="2" customWidth="1"/>
    <col min="5" max="5" width="32.5703125" style="2" customWidth="1"/>
    <col min="6" max="16384" width="8.85546875" style="2"/>
  </cols>
  <sheetData>
    <row r="2" outlineLevel="1" x14ac:dyDescent="0.25"/>
    <row r="3" outlineLevel="1" x14ac:dyDescent="0.25"/>
    <row r="4" outlineLevel="1" x14ac:dyDescent="0.25"/>
    <row r="5" outlineLevel="1" x14ac:dyDescent="0.25"/>
    <row r="6" outlineLevel="1" x14ac:dyDescent="0.25"/>
    <row r="7" outlineLevel="1" x14ac:dyDescent="0.25"/>
    <row r="8" outlineLevel="1" x14ac:dyDescent="0.25"/>
    <row r="9" outlineLevel="1" x14ac:dyDescent="0.25"/>
    <row r="10" outlineLevel="1" x14ac:dyDescent="0.25"/>
    <row r="11" outlineLevel="1" x14ac:dyDescent="0.25"/>
    <row r="12" outlineLevel="1" x14ac:dyDescent="0.25"/>
    <row r="13" outlineLevel="1" x14ac:dyDescent="0.25"/>
    <row r="14" outlineLevel="1" x14ac:dyDescent="0.25"/>
    <row r="15" outlineLevel="1" x14ac:dyDescent="0.25"/>
    <row r="16" outlineLevel="1" x14ac:dyDescent="0.25"/>
    <row r="17" spans="1:5" s="3" customFormat="1" x14ac:dyDescent="0.25">
      <c r="A17" s="301" t="s">
        <v>7</v>
      </c>
      <c r="B17" s="301"/>
      <c r="C17" s="301"/>
      <c r="D17" s="330" t="s">
        <v>2</v>
      </c>
      <c r="E17" s="330"/>
    </row>
    <row r="18" spans="1:5" s="1" customFormat="1" ht="45" x14ac:dyDescent="0.25">
      <c r="A18" s="4" t="s">
        <v>0</v>
      </c>
      <c r="B18" s="19" t="s">
        <v>1</v>
      </c>
      <c r="C18" s="19" t="s">
        <v>3</v>
      </c>
      <c r="D18" s="331" t="s">
        <v>227</v>
      </c>
      <c r="E18" s="331" t="s">
        <v>225</v>
      </c>
    </row>
    <row r="19" spans="1:5" s="1" customFormat="1" x14ac:dyDescent="0.25">
      <c r="B19" s="20"/>
      <c r="C19" s="20"/>
      <c r="D19" s="331"/>
      <c r="E19" s="331"/>
    </row>
    <row r="20" spans="1:5" s="1" customFormat="1" x14ac:dyDescent="0.25">
      <c r="A20" s="8">
        <v>1</v>
      </c>
      <c r="B20" s="19">
        <v>2</v>
      </c>
      <c r="C20" s="19">
        <v>3</v>
      </c>
      <c r="D20" s="4">
        <v>4</v>
      </c>
      <c r="E20" s="4"/>
    </row>
    <row r="21" spans="1:5" ht="16.5" customHeight="1" outlineLevel="1" x14ac:dyDescent="0.25">
      <c r="A21" s="13" t="s">
        <v>9</v>
      </c>
      <c r="B21" s="14" t="s">
        <v>13</v>
      </c>
      <c r="C21" s="21" t="s">
        <v>230</v>
      </c>
      <c r="D21" s="329"/>
      <c r="E21" s="329"/>
    </row>
    <row r="22" spans="1:5" ht="60" outlineLevel="1" x14ac:dyDescent="0.25">
      <c r="A22" s="302" t="s">
        <v>231</v>
      </c>
      <c r="B22" s="14" t="s">
        <v>13</v>
      </c>
      <c r="C22" s="23" t="s">
        <v>233</v>
      </c>
      <c r="D22" s="329"/>
      <c r="E22" s="329"/>
    </row>
    <row r="23" spans="1:5" ht="90" outlineLevel="1" x14ac:dyDescent="0.25">
      <c r="A23" s="303" t="s">
        <v>232</v>
      </c>
      <c r="B23" s="14" t="s">
        <v>13</v>
      </c>
      <c r="C23" s="22" t="s">
        <v>235</v>
      </c>
      <c r="D23" s="14"/>
      <c r="E23" s="14"/>
    </row>
    <row r="24" spans="1:5" ht="30" outlineLevel="1" x14ac:dyDescent="0.25">
      <c r="A24" s="303" t="s">
        <v>236</v>
      </c>
      <c r="B24" s="14" t="s">
        <v>13</v>
      </c>
      <c r="C24" s="23" t="s">
        <v>237</v>
      </c>
      <c r="D24" s="14"/>
      <c r="E24" s="14"/>
    </row>
    <row r="25" spans="1:5" ht="75" outlineLevel="1" x14ac:dyDescent="0.25">
      <c r="A25" s="302" t="s">
        <v>238</v>
      </c>
      <c r="B25" s="14" t="s">
        <v>13</v>
      </c>
      <c r="C25" s="23" t="s">
        <v>250</v>
      </c>
      <c r="D25" s="14"/>
      <c r="E25" s="14"/>
    </row>
    <row r="26" spans="1:5" ht="45" outlineLevel="1" x14ac:dyDescent="0.25">
      <c r="A26" s="302" t="s">
        <v>249</v>
      </c>
      <c r="B26" s="14" t="s">
        <v>13</v>
      </c>
      <c r="C26" s="25" t="s">
        <v>242</v>
      </c>
      <c r="D26" s="14"/>
      <c r="E26" s="14"/>
    </row>
    <row r="27" spans="1:5" ht="30" outlineLevel="1" x14ac:dyDescent="0.25">
      <c r="A27" s="303" t="s">
        <v>240</v>
      </c>
      <c r="B27" s="14" t="s">
        <v>13</v>
      </c>
      <c r="C27" s="22" t="s">
        <v>243</v>
      </c>
      <c r="D27" s="5"/>
      <c r="E27" s="5"/>
    </row>
    <row r="28" spans="1:5" ht="16.5" customHeight="1" outlineLevel="1" x14ac:dyDescent="0.25">
      <c r="A28" s="304" t="s">
        <v>244</v>
      </c>
      <c r="B28" s="14" t="s">
        <v>13</v>
      </c>
      <c r="C28" s="21" t="s">
        <v>245</v>
      </c>
      <c r="D28" s="5"/>
      <c r="E28" s="5"/>
    </row>
    <row r="29" spans="1:5" ht="90" outlineLevel="1" x14ac:dyDescent="0.25">
      <c r="A29" s="303" t="s">
        <v>246</v>
      </c>
      <c r="B29" s="14" t="s">
        <v>13</v>
      </c>
      <c r="C29" s="23" t="s">
        <v>234</v>
      </c>
      <c r="D29" s="5"/>
      <c r="E29" s="5"/>
    </row>
    <row r="30" spans="1:5" ht="30" outlineLevel="1" x14ac:dyDescent="0.25">
      <c r="A30" s="303" t="s">
        <v>247</v>
      </c>
      <c r="B30" s="14" t="s">
        <v>13</v>
      </c>
      <c r="C30" s="23" t="s">
        <v>257</v>
      </c>
      <c r="D30" s="5"/>
      <c r="E30" s="5"/>
    </row>
    <row r="31" spans="1:5" outlineLevel="1" x14ac:dyDescent="0.25">
      <c r="A31" s="303" t="s">
        <v>248</v>
      </c>
      <c r="B31" s="14"/>
      <c r="C31" s="23" t="s">
        <v>258</v>
      </c>
      <c r="D31" s="5"/>
      <c r="E31" s="5"/>
    </row>
    <row r="32" spans="1:5" ht="75" outlineLevel="1" x14ac:dyDescent="0.25">
      <c r="A32" s="303" t="s">
        <v>259</v>
      </c>
      <c r="B32" s="14" t="s">
        <v>13</v>
      </c>
      <c r="C32" s="23" t="s">
        <v>239</v>
      </c>
      <c r="D32" s="5"/>
      <c r="E32" s="5"/>
    </row>
    <row r="33" spans="1:5" outlineLevel="1" x14ac:dyDescent="0.25">
      <c r="A33" s="305">
        <v>3</v>
      </c>
      <c r="B33" s="14" t="s">
        <v>13</v>
      </c>
      <c r="C33" s="21" t="s">
        <v>252</v>
      </c>
      <c r="D33" s="5"/>
      <c r="E33" s="5"/>
    </row>
    <row r="34" spans="1:5" ht="60" outlineLevel="1" x14ac:dyDescent="0.25">
      <c r="A34" s="303" t="s">
        <v>253</v>
      </c>
      <c r="B34" s="14" t="s">
        <v>13</v>
      </c>
      <c r="C34" s="22" t="s">
        <v>251</v>
      </c>
      <c r="D34" s="5"/>
      <c r="E34" s="5"/>
    </row>
    <row r="35" spans="1:5" ht="90" outlineLevel="1" x14ac:dyDescent="0.25">
      <c r="A35" s="303" t="s">
        <v>254</v>
      </c>
      <c r="B35" s="14" t="s">
        <v>13</v>
      </c>
      <c r="C35" s="22" t="s">
        <v>241</v>
      </c>
      <c r="D35" s="5"/>
      <c r="E35" s="5"/>
    </row>
    <row r="36" spans="1:5" ht="30" outlineLevel="1" x14ac:dyDescent="0.25">
      <c r="A36" s="303" t="s">
        <v>255</v>
      </c>
      <c r="B36" s="14" t="s">
        <v>13</v>
      </c>
      <c r="C36" s="22" t="s">
        <v>256</v>
      </c>
      <c r="D36" s="5"/>
      <c r="E36" s="5"/>
    </row>
    <row r="37" spans="1:5" outlineLevel="1" x14ac:dyDescent="0.25">
      <c r="A37" s="304" t="s">
        <v>8</v>
      </c>
      <c r="B37" s="14"/>
      <c r="C37" s="21" t="s">
        <v>260</v>
      </c>
      <c r="D37" s="5"/>
      <c r="E37" s="5"/>
    </row>
    <row r="38" spans="1:5" outlineLevel="1" x14ac:dyDescent="0.25">
      <c r="A38" s="303" t="s">
        <v>261</v>
      </c>
      <c r="B38" s="14" t="s">
        <v>13</v>
      </c>
      <c r="C38" s="22" t="s">
        <v>262</v>
      </c>
      <c r="D38" s="5"/>
      <c r="E38" s="5"/>
    </row>
    <row r="39" spans="1:5" outlineLevel="1" x14ac:dyDescent="0.25">
      <c r="A39" s="306" t="s">
        <v>264</v>
      </c>
      <c r="B39" s="14" t="s">
        <v>13</v>
      </c>
      <c r="C39" s="23" t="s">
        <v>263</v>
      </c>
      <c r="D39" s="329"/>
      <c r="E39" s="329"/>
    </row>
    <row r="40" spans="1:5" outlineLevel="1" x14ac:dyDescent="0.25">
      <c r="A40" s="304" t="s">
        <v>265</v>
      </c>
      <c r="B40" s="14" t="s">
        <v>13</v>
      </c>
      <c r="C40" s="21" t="s">
        <v>266</v>
      </c>
      <c r="D40" s="5"/>
      <c r="E40" s="5"/>
    </row>
    <row r="41" spans="1:5" outlineLevel="1" x14ac:dyDescent="0.25">
      <c r="A41" s="303" t="s">
        <v>267</v>
      </c>
      <c r="B41" s="14" t="s">
        <v>13</v>
      </c>
      <c r="C41" s="22" t="s">
        <v>268</v>
      </c>
      <c r="D41" s="5"/>
      <c r="E41" s="5"/>
    </row>
    <row r="42" spans="1:5" ht="30" outlineLevel="1" x14ac:dyDescent="0.25">
      <c r="A42" s="303" t="s">
        <v>270</v>
      </c>
      <c r="B42" s="14" t="s">
        <v>13</v>
      </c>
      <c r="C42" s="22" t="s">
        <v>269</v>
      </c>
      <c r="D42" s="5"/>
      <c r="E42" s="5"/>
    </row>
    <row r="43" spans="1:5" ht="45" outlineLevel="1" x14ac:dyDescent="0.25">
      <c r="A43" s="303" t="s">
        <v>271</v>
      </c>
      <c r="B43" s="14" t="s">
        <v>13</v>
      </c>
      <c r="C43" s="24" t="s">
        <v>272</v>
      </c>
      <c r="D43" s="5"/>
      <c r="E43" s="5"/>
    </row>
    <row r="44" spans="1:5" ht="15.75" thickBot="1" x14ac:dyDescent="0.3"/>
    <row r="45" spans="1:5" x14ac:dyDescent="0.25">
      <c r="A45" s="307" t="s">
        <v>273</v>
      </c>
      <c r="B45" s="296"/>
      <c r="C45" s="296"/>
      <c r="D45" s="296"/>
      <c r="E45" s="308"/>
    </row>
    <row r="46" spans="1:5" x14ac:dyDescent="0.25">
      <c r="A46" s="309"/>
      <c r="B46" s="298"/>
      <c r="C46" s="298"/>
      <c r="D46" s="298"/>
      <c r="E46" s="310"/>
    </row>
    <row r="47" spans="1:5" ht="15.75" thickBot="1" x14ac:dyDescent="0.3">
      <c r="A47" s="311"/>
      <c r="B47" s="312"/>
      <c r="C47" s="312"/>
      <c r="D47" s="312"/>
      <c r="E47" s="313"/>
    </row>
    <row r="48" spans="1:5" x14ac:dyDescent="0.25">
      <c r="A48" s="9"/>
      <c r="B48" s="290"/>
    </row>
    <row r="49" spans="1:5" ht="15.75" thickBot="1" x14ac:dyDescent="0.3">
      <c r="A49" s="15" t="s">
        <v>10</v>
      </c>
      <c r="B49" s="290"/>
    </row>
    <row r="50" spans="1:5" x14ac:dyDescent="0.25">
      <c r="A50" s="295"/>
      <c r="B50" s="296"/>
      <c r="C50" s="296"/>
      <c r="D50" s="296"/>
      <c r="E50" s="296"/>
    </row>
    <row r="51" spans="1:5" x14ac:dyDescent="0.25">
      <c r="A51" s="297"/>
      <c r="B51" s="298"/>
      <c r="C51" s="298"/>
      <c r="D51" s="298"/>
      <c r="E51" s="298"/>
    </row>
    <row r="52" spans="1:5" ht="15.75" thickBot="1" x14ac:dyDescent="0.3">
      <c r="A52" s="299"/>
      <c r="B52" s="300"/>
      <c r="C52" s="300"/>
      <c r="D52" s="300"/>
      <c r="E52" s="300"/>
    </row>
    <row r="53" spans="1:5" x14ac:dyDescent="0.25">
      <c r="B53" s="290"/>
    </row>
    <row r="54" spans="1:5" x14ac:dyDescent="0.25">
      <c r="A54" s="10" t="s">
        <v>4</v>
      </c>
    </row>
    <row r="56" spans="1:5" x14ac:dyDescent="0.25">
      <c r="A56" s="11"/>
      <c r="B56" s="26"/>
      <c r="C56" s="26"/>
      <c r="D56" s="6"/>
      <c r="E56" s="6"/>
    </row>
    <row r="57" spans="1:5" x14ac:dyDescent="0.25">
      <c r="B57" s="27" t="s">
        <v>5</v>
      </c>
      <c r="C57" s="27" t="s">
        <v>6</v>
      </c>
    </row>
    <row r="60" spans="1:5" x14ac:dyDescent="0.25">
      <c r="A60" s="9" t="s">
        <v>226</v>
      </c>
    </row>
    <row r="78" spans="5:5" x14ac:dyDescent="0.25">
      <c r="E78" s="7"/>
    </row>
  </sheetData>
  <autoFilter ref="A19:C43" xr:uid="{00000000-0009-0000-0000-000000000000}"/>
  <mergeCells count="6">
    <mergeCell ref="A45:E47"/>
    <mergeCell ref="A50:E52"/>
    <mergeCell ref="D18:D19"/>
    <mergeCell ref="A17:C17"/>
    <mergeCell ref="E18:E19"/>
    <mergeCell ref="D17:E17"/>
  </mergeCells>
  <conditionalFormatting sqref="E18:E19">
    <cfRule type="containsText" dxfId="0" priority="1" operator="containsText" text="нет">
      <formula>NOT(ISERROR(SEARCH("нет",E18)))</formula>
    </cfRule>
  </conditionalFormatting>
  <pageMargins left="0.25" right="0.25" top="0.75" bottom="0.75" header="0.3" footer="0.3"/>
  <pageSetup paperSize="9" scale="1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FEE7B-7277-42AA-9004-14F533662717}">
  <sheetPr>
    <pageSetUpPr fitToPage="1"/>
  </sheetPr>
  <dimension ref="A1:I107"/>
  <sheetViews>
    <sheetView workbookViewId="0">
      <selection activeCell="G24" sqref="G24"/>
    </sheetView>
  </sheetViews>
  <sheetFormatPr defaultColWidth="9.140625" defaultRowHeight="15" x14ac:dyDescent="0.25"/>
  <cols>
    <col min="1" max="1" width="37.42578125" style="292" customWidth="1"/>
    <col min="2" max="2" width="12.140625" style="292" customWidth="1"/>
    <col min="3" max="3" width="21.42578125" style="17" customWidth="1"/>
    <col min="4" max="4" width="26.5703125" style="17" customWidth="1"/>
    <col min="5" max="5" width="14.85546875" style="17" bestFit="1" customWidth="1"/>
    <col min="6" max="6" width="42.28515625" style="17" customWidth="1"/>
    <col min="7" max="7" width="28.5703125" style="17" customWidth="1"/>
    <col min="8" max="8" width="33.42578125" style="17" bestFit="1" customWidth="1"/>
    <col min="9" max="9" width="27.140625" style="17" bestFit="1" customWidth="1"/>
    <col min="10" max="10" width="21.85546875" style="17" bestFit="1" customWidth="1"/>
    <col min="11" max="11" width="27.42578125" style="17" bestFit="1" customWidth="1"/>
    <col min="12" max="12" width="27.85546875" style="17" bestFit="1" customWidth="1"/>
    <col min="13" max="13" width="19.28515625" style="17" bestFit="1" customWidth="1"/>
    <col min="14" max="14" width="17.7109375" style="17" bestFit="1" customWidth="1"/>
    <col min="15" max="15" width="33" style="17" bestFit="1" customWidth="1"/>
    <col min="16" max="16" width="13.140625" style="17" bestFit="1" customWidth="1"/>
    <col min="17" max="17" width="16.7109375" style="17" bestFit="1" customWidth="1"/>
    <col min="18" max="18" width="13.7109375" style="17" bestFit="1" customWidth="1"/>
    <col min="19" max="19" width="20.85546875" style="17" bestFit="1" customWidth="1"/>
    <col min="20" max="20" width="21.7109375" style="17" bestFit="1" customWidth="1"/>
    <col min="21" max="21" width="15.85546875" style="17" bestFit="1" customWidth="1"/>
    <col min="22" max="22" width="8.42578125" style="17" bestFit="1" customWidth="1"/>
    <col min="23" max="23" width="39.85546875" style="17" bestFit="1" customWidth="1"/>
    <col min="24" max="24" width="17.42578125" style="17" bestFit="1" customWidth="1"/>
    <col min="25" max="25" width="15" style="17" bestFit="1" customWidth="1"/>
    <col min="26" max="26" width="17.42578125" style="17" bestFit="1" customWidth="1"/>
    <col min="27" max="27" width="15.5703125" style="17" bestFit="1" customWidth="1"/>
    <col min="28" max="28" width="11.42578125" style="17" bestFit="1" customWidth="1"/>
    <col min="29" max="29" width="12" style="17" bestFit="1" customWidth="1"/>
    <col min="30" max="30" width="16.140625" style="17" bestFit="1" customWidth="1"/>
    <col min="31" max="31" width="21" style="17" bestFit="1" customWidth="1"/>
    <col min="32" max="32" width="20.85546875" style="17" bestFit="1" customWidth="1"/>
    <col min="33" max="33" width="14.28515625" style="17" bestFit="1" customWidth="1"/>
    <col min="34" max="34" width="19.7109375" style="17" bestFit="1" customWidth="1"/>
    <col min="35" max="35" width="8.28515625" style="17" bestFit="1" customWidth="1"/>
    <col min="36" max="36" width="13.140625" style="17" bestFit="1" customWidth="1"/>
    <col min="37" max="37" width="12.85546875" style="17" bestFit="1" customWidth="1"/>
    <col min="38" max="38" width="19.7109375" style="17" bestFit="1" customWidth="1"/>
    <col min="39" max="39" width="10.140625" style="17" bestFit="1" customWidth="1"/>
    <col min="40" max="40" width="15.5703125" style="17" bestFit="1" customWidth="1"/>
    <col min="41" max="41" width="11.5703125" style="17" bestFit="1" customWidth="1"/>
    <col min="42" max="42" width="17.7109375" style="17" bestFit="1" customWidth="1"/>
    <col min="43" max="43" width="8.140625" style="17" bestFit="1" customWidth="1"/>
    <col min="44" max="44" width="14.28515625" style="17" bestFit="1" customWidth="1"/>
    <col min="45" max="45" width="31.7109375" style="17" bestFit="1" customWidth="1"/>
    <col min="46" max="46" width="11.28515625" style="17" bestFit="1" customWidth="1"/>
    <col min="47" max="47" width="17" style="17" bestFit="1" customWidth="1"/>
    <col min="48" max="48" width="11" style="17" bestFit="1" customWidth="1"/>
    <col min="49" max="49" width="16.7109375" style="17" bestFit="1" customWidth="1"/>
    <col min="50" max="50" width="8.7109375" style="17" bestFit="1" customWidth="1"/>
    <col min="51" max="51" width="13.5703125" style="17" bestFit="1" customWidth="1"/>
    <col min="52" max="52" width="10.28515625" style="17" bestFit="1" customWidth="1"/>
    <col min="53" max="53" width="27.5703125" style="17" bestFit="1" customWidth="1"/>
    <col min="54" max="54" width="28.42578125" style="17" bestFit="1" customWidth="1"/>
    <col min="55" max="55" width="16.5703125" style="17" bestFit="1" customWidth="1"/>
    <col min="56" max="56" width="21.5703125" style="17" bestFit="1" customWidth="1"/>
    <col min="57" max="57" width="16" style="17" bestFit="1" customWidth="1"/>
    <col min="58" max="58" width="13.28515625" style="17" bestFit="1" customWidth="1"/>
    <col min="59" max="59" width="13.7109375" style="17" bestFit="1" customWidth="1"/>
    <col min="60" max="60" width="14.140625" style="17" bestFit="1" customWidth="1"/>
    <col min="61" max="61" width="11" style="17" bestFit="1" customWidth="1"/>
    <col min="62" max="62" width="11.28515625" style="17" bestFit="1" customWidth="1"/>
    <col min="63" max="63" width="16" style="17" bestFit="1" customWidth="1"/>
    <col min="64" max="64" width="15" style="17" bestFit="1" customWidth="1"/>
    <col min="65" max="65" width="13.7109375" style="17" bestFit="1" customWidth="1"/>
    <col min="66" max="66" width="18.5703125" style="17" bestFit="1" customWidth="1"/>
    <col min="67" max="67" width="5" style="17" bestFit="1" customWidth="1"/>
    <col min="68" max="68" width="9.7109375" style="17" bestFit="1" customWidth="1"/>
    <col min="69" max="70" width="15.140625" style="17" bestFit="1" customWidth="1"/>
    <col min="71" max="71" width="19.85546875" style="17" bestFit="1" customWidth="1"/>
    <col min="72" max="72" width="26.140625" style="17" bestFit="1" customWidth="1"/>
    <col min="73" max="73" width="47.5703125" style="17" bestFit="1" customWidth="1"/>
    <col min="74" max="74" width="11.85546875" style="17" bestFit="1" customWidth="1"/>
    <col min="75" max="75" width="14.140625" style="17" bestFit="1" customWidth="1"/>
    <col min="76" max="76" width="16" style="17" bestFit="1" customWidth="1"/>
    <col min="77" max="77" width="20.85546875" style="17" bestFit="1" customWidth="1"/>
    <col min="78" max="78" width="10.140625" style="17" bestFit="1" customWidth="1"/>
    <col min="79" max="79" width="29.140625" style="17" bestFit="1" customWidth="1"/>
    <col min="80" max="80" width="17.42578125" style="17" bestFit="1" customWidth="1"/>
    <col min="81" max="81" width="19" style="17" bestFit="1" customWidth="1"/>
    <col min="82" max="82" width="9.28515625" style="17" bestFit="1" customWidth="1"/>
    <col min="83" max="83" width="33" style="17" bestFit="1" customWidth="1"/>
    <col min="84" max="84" width="15.5703125" style="17" bestFit="1" customWidth="1"/>
    <col min="85" max="85" width="9.5703125" style="17" bestFit="1" customWidth="1"/>
    <col min="86" max="86" width="23.7109375" style="17" bestFit="1" customWidth="1"/>
    <col min="87" max="87" width="10.42578125" style="17" bestFit="1" customWidth="1"/>
    <col min="88" max="88" width="10.5703125" style="17" bestFit="1" customWidth="1"/>
    <col min="89" max="89" width="11.5703125" style="17" bestFit="1" customWidth="1"/>
    <col min="90" max="90" width="14.42578125" style="17" bestFit="1" customWidth="1"/>
    <col min="91" max="91" width="16.42578125" style="17" bestFit="1" customWidth="1"/>
    <col min="92" max="92" width="10.42578125" style="17" bestFit="1" customWidth="1"/>
    <col min="93" max="93" width="10.140625" style="17" bestFit="1" customWidth="1"/>
    <col min="94" max="94" width="12.28515625" style="17" bestFit="1" customWidth="1"/>
    <col min="95" max="95" width="11.28515625" style="17" bestFit="1" customWidth="1"/>
    <col min="96" max="96" width="12.7109375" style="17" bestFit="1" customWidth="1"/>
    <col min="97" max="97" width="19.140625" style="17" bestFit="1" customWidth="1"/>
    <col min="98" max="98" width="16.140625" style="17" bestFit="1" customWidth="1"/>
    <col min="99" max="99" width="22" style="17" bestFit="1" customWidth="1"/>
    <col min="100" max="100" width="4.28515625" style="17" bestFit="1" customWidth="1"/>
    <col min="101" max="101" width="11.28515625" style="17" bestFit="1" customWidth="1"/>
    <col min="102" max="102" width="5.140625" style="17" bestFit="1" customWidth="1"/>
    <col min="103" max="103" width="6.85546875" style="17" bestFit="1" customWidth="1"/>
    <col min="104" max="104" width="12.5703125" style="17" bestFit="1" customWidth="1"/>
    <col min="105" max="105" width="9.85546875" style="17" bestFit="1" customWidth="1"/>
    <col min="106" max="106" width="14.7109375" style="17" bestFit="1" customWidth="1"/>
    <col min="107" max="107" width="41.85546875" style="17" bestFit="1" customWidth="1"/>
    <col min="108" max="108" width="36.5703125" style="17" bestFit="1" customWidth="1"/>
    <col min="109" max="109" width="45.140625" style="17" bestFit="1" customWidth="1"/>
    <col min="110" max="110" width="5.140625" style="17" bestFit="1" customWidth="1"/>
    <col min="111" max="111" width="11.85546875" style="17" bestFit="1" customWidth="1"/>
    <col min="112" max="112" width="7.140625" style="17" bestFit="1" customWidth="1"/>
    <col min="113" max="113" width="10.28515625" style="17" bestFit="1" customWidth="1"/>
    <col min="114" max="114" width="14.140625" style="17" bestFit="1" customWidth="1"/>
    <col min="115" max="115" width="18.28515625" style="17" bestFit="1" customWidth="1"/>
    <col min="116" max="116" width="19" style="17" bestFit="1" customWidth="1"/>
    <col min="117" max="117" width="24" style="17" bestFit="1" customWidth="1"/>
    <col min="118" max="118" width="12.5703125" style="17" bestFit="1" customWidth="1"/>
    <col min="119" max="119" width="15.85546875" style="17" bestFit="1" customWidth="1"/>
    <col min="120" max="120" width="25.5703125" style="17" bestFit="1" customWidth="1"/>
    <col min="121" max="121" width="27.28515625" style="17" bestFit="1" customWidth="1"/>
    <col min="122" max="122" width="19.140625" style="17" bestFit="1" customWidth="1"/>
    <col min="123" max="123" width="17" style="17" bestFit="1" customWidth="1"/>
    <col min="124" max="124" width="8.42578125" style="17" bestFit="1" customWidth="1"/>
    <col min="125" max="125" width="13.28515625" style="17" bestFit="1" customWidth="1"/>
    <col min="126" max="126" width="20.85546875" style="17" bestFit="1" customWidth="1"/>
    <col min="127" max="127" width="22.5703125" style="17" bestFit="1" customWidth="1"/>
    <col min="128" max="128" width="12.140625" style="17" bestFit="1" customWidth="1"/>
    <col min="129" max="129" width="12.85546875" style="17" bestFit="1" customWidth="1"/>
    <col min="130" max="130" width="9.7109375" style="17" bestFit="1" customWidth="1"/>
    <col min="131" max="131" width="7.42578125" style="17" bestFit="1" customWidth="1"/>
    <col min="132" max="132" width="11.85546875" style="17" bestFit="1" customWidth="1"/>
    <col min="133" max="16384" width="9.140625" style="17"/>
  </cols>
  <sheetData>
    <row r="1" spans="1:9" x14ac:dyDescent="0.25">
      <c r="A1" s="316"/>
      <c r="B1" s="317"/>
      <c r="C1" s="316"/>
      <c r="D1" s="316"/>
      <c r="E1" s="316"/>
      <c r="F1" s="316"/>
      <c r="G1" s="328" t="s">
        <v>305</v>
      </c>
      <c r="H1" s="318"/>
    </row>
    <row r="2" spans="1:9" ht="19.5" customHeight="1" x14ac:dyDescent="0.25">
      <c r="A2" s="320" t="s">
        <v>229</v>
      </c>
      <c r="B2" s="320" t="s">
        <v>274</v>
      </c>
      <c r="C2" s="320" t="s">
        <v>275</v>
      </c>
      <c r="D2" s="320" t="s">
        <v>276</v>
      </c>
      <c r="E2" s="321" t="s">
        <v>277</v>
      </c>
      <c r="F2" s="321"/>
      <c r="G2" s="320" t="s">
        <v>278</v>
      </c>
      <c r="H2" s="322" t="s">
        <v>303</v>
      </c>
      <c r="I2" s="320" t="s">
        <v>304</v>
      </c>
    </row>
    <row r="3" spans="1:9" ht="19.5" customHeight="1" x14ac:dyDescent="0.25">
      <c r="A3" s="323" t="s">
        <v>12</v>
      </c>
      <c r="B3" s="320" t="s">
        <v>204</v>
      </c>
      <c r="C3" s="324" t="s">
        <v>279</v>
      </c>
      <c r="D3" s="320" t="s">
        <v>280</v>
      </c>
      <c r="E3" s="320" t="s">
        <v>281</v>
      </c>
      <c r="F3" s="322" t="s">
        <v>282</v>
      </c>
      <c r="G3" s="325"/>
      <c r="H3" s="326">
        <v>38</v>
      </c>
      <c r="I3" s="325">
        <f>H3*G3</f>
        <v>0</v>
      </c>
    </row>
    <row r="4" spans="1:9" ht="19.5" customHeight="1" x14ac:dyDescent="0.25">
      <c r="A4" s="323"/>
      <c r="B4" s="320" t="s">
        <v>204</v>
      </c>
      <c r="C4" s="324">
        <v>18</v>
      </c>
      <c r="D4" s="320" t="s">
        <v>283</v>
      </c>
      <c r="E4" s="320" t="s">
        <v>281</v>
      </c>
      <c r="F4" s="322" t="s">
        <v>284</v>
      </c>
      <c r="G4" s="325"/>
      <c r="H4" s="326">
        <v>38</v>
      </c>
      <c r="I4" s="325">
        <f t="shared" ref="I4:I11" si="0">H4*G4</f>
        <v>0</v>
      </c>
    </row>
    <row r="5" spans="1:9" ht="45" x14ac:dyDescent="0.25">
      <c r="A5" s="323"/>
      <c r="B5" s="320" t="s">
        <v>204</v>
      </c>
      <c r="C5" s="324">
        <v>16</v>
      </c>
      <c r="D5" s="322" t="s">
        <v>285</v>
      </c>
      <c r="E5" s="320" t="s">
        <v>281</v>
      </c>
      <c r="F5" s="322" t="s">
        <v>286</v>
      </c>
      <c r="G5" s="325"/>
      <c r="H5" s="326">
        <v>38</v>
      </c>
      <c r="I5" s="325">
        <f t="shared" si="0"/>
        <v>0</v>
      </c>
    </row>
    <row r="6" spans="1:9" ht="60" x14ac:dyDescent="0.25">
      <c r="A6" s="323"/>
      <c r="B6" s="320" t="s">
        <v>287</v>
      </c>
      <c r="C6" s="324">
        <v>18</v>
      </c>
      <c r="D6" s="322" t="s">
        <v>288</v>
      </c>
      <c r="E6" s="320" t="s">
        <v>281</v>
      </c>
      <c r="F6" s="322" t="s">
        <v>282</v>
      </c>
      <c r="G6" s="325"/>
      <c r="H6" s="326">
        <v>38</v>
      </c>
      <c r="I6" s="325">
        <f t="shared" si="0"/>
        <v>0</v>
      </c>
    </row>
    <row r="7" spans="1:9" ht="45" x14ac:dyDescent="0.25">
      <c r="A7" s="323"/>
      <c r="B7" s="320" t="s">
        <v>289</v>
      </c>
      <c r="C7" s="324">
        <v>18</v>
      </c>
      <c r="D7" s="322" t="s">
        <v>290</v>
      </c>
      <c r="E7" s="322" t="s">
        <v>291</v>
      </c>
      <c r="F7" s="322" t="s">
        <v>292</v>
      </c>
      <c r="G7" s="325"/>
      <c r="H7" s="326">
        <v>152</v>
      </c>
      <c r="I7" s="325">
        <f t="shared" si="0"/>
        <v>0</v>
      </c>
    </row>
    <row r="8" spans="1:9" ht="45" x14ac:dyDescent="0.25">
      <c r="A8" s="323"/>
      <c r="B8" s="320" t="s">
        <v>289</v>
      </c>
      <c r="C8" s="324">
        <v>18</v>
      </c>
      <c r="D8" s="322" t="s">
        <v>293</v>
      </c>
      <c r="E8" s="322" t="s">
        <v>291</v>
      </c>
      <c r="F8" s="322" t="s">
        <v>294</v>
      </c>
      <c r="G8" s="325"/>
      <c r="H8" s="326">
        <v>152</v>
      </c>
      <c r="I8" s="325">
        <f t="shared" si="0"/>
        <v>0</v>
      </c>
    </row>
    <row r="9" spans="1:9" ht="30" x14ac:dyDescent="0.25">
      <c r="A9" s="323"/>
      <c r="B9" s="320" t="s">
        <v>289</v>
      </c>
      <c r="C9" s="324">
        <v>18</v>
      </c>
      <c r="D9" s="322" t="s">
        <v>295</v>
      </c>
      <c r="E9" s="320" t="s">
        <v>281</v>
      </c>
      <c r="F9" s="322" t="s">
        <v>296</v>
      </c>
      <c r="G9" s="325"/>
      <c r="H9" s="326">
        <v>19</v>
      </c>
      <c r="I9" s="325">
        <f t="shared" si="0"/>
        <v>0</v>
      </c>
    </row>
    <row r="10" spans="1:9" ht="30" x14ac:dyDescent="0.25">
      <c r="A10" s="323"/>
      <c r="B10" s="320" t="s">
        <v>289</v>
      </c>
      <c r="C10" s="324">
        <v>18</v>
      </c>
      <c r="D10" s="322" t="s">
        <v>297</v>
      </c>
      <c r="E10" s="320" t="s">
        <v>281</v>
      </c>
      <c r="F10" s="322" t="s">
        <v>296</v>
      </c>
      <c r="G10" s="325"/>
      <c r="H10" s="326">
        <v>19</v>
      </c>
      <c r="I10" s="325">
        <f t="shared" si="0"/>
        <v>0</v>
      </c>
    </row>
    <row r="11" spans="1:9" ht="30" x14ac:dyDescent="0.25">
      <c r="A11" s="323"/>
      <c r="B11" s="320" t="s">
        <v>133</v>
      </c>
      <c r="C11" s="324">
        <v>18</v>
      </c>
      <c r="D11" s="322" t="s">
        <v>298</v>
      </c>
      <c r="E11" s="320" t="s">
        <v>281</v>
      </c>
      <c r="F11" s="322" t="s">
        <v>299</v>
      </c>
      <c r="G11" s="325"/>
      <c r="H11" s="326">
        <v>38</v>
      </c>
      <c r="I11" s="325">
        <f t="shared" si="0"/>
        <v>0</v>
      </c>
    </row>
    <row r="12" spans="1:9" ht="30" x14ac:dyDescent="0.25">
      <c r="A12" s="327" t="s">
        <v>11</v>
      </c>
      <c r="B12" s="320" t="s">
        <v>133</v>
      </c>
      <c r="C12" s="324" t="s">
        <v>300</v>
      </c>
      <c r="D12" s="320" t="s">
        <v>301</v>
      </c>
      <c r="E12" s="322" t="s">
        <v>291</v>
      </c>
      <c r="F12" s="322" t="s">
        <v>302</v>
      </c>
      <c r="G12" s="320"/>
      <c r="H12" s="324">
        <v>90</v>
      </c>
      <c r="I12" s="320"/>
    </row>
    <row r="13" spans="1:9" x14ac:dyDescent="0.25">
      <c r="A13" s="319"/>
      <c r="B13" s="319"/>
      <c r="C13" s="318"/>
      <c r="D13" s="318"/>
      <c r="E13" s="318"/>
      <c r="F13" s="318"/>
      <c r="G13" s="318"/>
      <c r="H13" s="318"/>
    </row>
    <row r="14" spans="1:9" x14ac:dyDescent="0.25">
      <c r="A14" s="319"/>
      <c r="B14" s="319"/>
      <c r="C14" s="318"/>
      <c r="D14" s="318"/>
      <c r="E14" s="318"/>
      <c r="F14" s="318"/>
      <c r="G14" s="318"/>
      <c r="H14" s="318"/>
    </row>
    <row r="15" spans="1:9" x14ac:dyDescent="0.25">
      <c r="A15" s="319"/>
      <c r="B15" s="319"/>
      <c r="C15" s="318"/>
      <c r="D15" s="318"/>
      <c r="E15" s="318"/>
      <c r="F15" s="318"/>
      <c r="G15" s="318"/>
      <c r="H15" s="318"/>
    </row>
    <row r="16" spans="1:9" x14ac:dyDescent="0.25">
      <c r="A16" s="319"/>
      <c r="B16" s="319"/>
      <c r="C16" s="318"/>
      <c r="D16" s="318"/>
      <c r="E16" s="318"/>
      <c r="F16" s="318"/>
      <c r="G16" s="318"/>
      <c r="H16" s="318"/>
    </row>
    <row r="17" spans="1:8" x14ac:dyDescent="0.25">
      <c r="A17" s="319"/>
      <c r="B17" s="319"/>
      <c r="C17" s="318"/>
      <c r="D17" s="318"/>
      <c r="E17" s="318"/>
      <c r="F17" s="318"/>
      <c r="G17" s="318"/>
      <c r="H17" s="318"/>
    </row>
    <row r="18" spans="1:8" x14ac:dyDescent="0.25">
      <c r="A18" s="319"/>
      <c r="B18" s="319"/>
      <c r="C18" s="318"/>
      <c r="D18" s="318"/>
      <c r="E18" s="318"/>
      <c r="F18" s="318"/>
      <c r="G18" s="318"/>
      <c r="H18" s="318"/>
    </row>
    <row r="19" spans="1:8" x14ac:dyDescent="0.25">
      <c r="A19" s="319"/>
      <c r="B19" s="319"/>
      <c r="C19" s="318"/>
      <c r="D19" s="318"/>
      <c r="E19" s="318"/>
      <c r="F19" s="318"/>
      <c r="G19" s="318"/>
      <c r="H19" s="318"/>
    </row>
    <row r="20" spans="1:8" x14ac:dyDescent="0.25">
      <c r="A20" s="319"/>
      <c r="B20" s="319"/>
      <c r="C20" s="318"/>
      <c r="D20" s="318"/>
      <c r="E20" s="318"/>
      <c r="F20" s="318"/>
      <c r="G20" s="318"/>
      <c r="H20" s="318"/>
    </row>
    <row r="21" spans="1:8" x14ac:dyDescent="0.25">
      <c r="A21" s="319"/>
      <c r="B21" s="319"/>
      <c r="C21" s="318"/>
      <c r="D21" s="318"/>
      <c r="E21" s="318"/>
      <c r="F21" s="318"/>
      <c r="G21" s="318"/>
      <c r="H21" s="318"/>
    </row>
    <row r="22" spans="1:8" x14ac:dyDescent="0.25">
      <c r="A22" s="319"/>
      <c r="B22" s="319"/>
      <c r="C22" s="318"/>
      <c r="D22" s="318"/>
      <c r="E22" s="318"/>
      <c r="F22" s="318"/>
      <c r="G22" s="318"/>
      <c r="H22" s="318"/>
    </row>
    <row r="23" spans="1:8" x14ac:dyDescent="0.25">
      <c r="A23" s="319"/>
      <c r="B23" s="319"/>
      <c r="C23" s="318"/>
      <c r="D23" s="318"/>
      <c r="E23" s="318"/>
      <c r="F23" s="318"/>
      <c r="G23" s="318"/>
      <c r="H23" s="318"/>
    </row>
    <row r="24" spans="1:8" x14ac:dyDescent="0.25">
      <c r="A24" s="319"/>
      <c r="B24" s="319"/>
      <c r="C24" s="318"/>
      <c r="D24" s="318"/>
      <c r="E24" s="318"/>
      <c r="F24" s="318"/>
      <c r="G24" s="318"/>
      <c r="H24" s="318"/>
    </row>
    <row r="25" spans="1:8" x14ac:dyDescent="0.25">
      <c r="A25" s="319"/>
      <c r="B25" s="319"/>
      <c r="C25" s="318"/>
      <c r="D25" s="318"/>
      <c r="E25" s="318"/>
      <c r="F25" s="318"/>
      <c r="G25" s="318"/>
      <c r="H25" s="318"/>
    </row>
    <row r="26" spans="1:8" x14ac:dyDescent="0.25">
      <c r="A26" s="319"/>
      <c r="B26" s="319"/>
      <c r="C26" s="318"/>
      <c r="D26" s="318"/>
      <c r="E26" s="318"/>
      <c r="F26" s="318"/>
      <c r="G26" s="318"/>
      <c r="H26" s="318"/>
    </row>
    <row r="27" spans="1:8" x14ac:dyDescent="0.25">
      <c r="A27" s="319"/>
      <c r="B27" s="319"/>
      <c r="C27" s="318"/>
      <c r="D27" s="318"/>
      <c r="E27" s="318"/>
      <c r="F27" s="318"/>
      <c r="G27" s="318"/>
      <c r="H27" s="318"/>
    </row>
    <row r="28" spans="1:8" x14ac:dyDescent="0.25">
      <c r="A28" s="319"/>
      <c r="B28" s="319"/>
      <c r="C28" s="318"/>
      <c r="D28" s="318"/>
      <c r="E28" s="318"/>
      <c r="F28" s="318"/>
      <c r="G28" s="318"/>
      <c r="H28" s="318"/>
    </row>
    <row r="29" spans="1:8" x14ac:dyDescent="0.25">
      <c r="A29" s="319"/>
      <c r="B29" s="319"/>
      <c r="C29" s="318"/>
      <c r="D29" s="318"/>
      <c r="E29" s="318"/>
      <c r="F29" s="318"/>
      <c r="G29" s="318"/>
      <c r="H29" s="318"/>
    </row>
    <row r="30" spans="1:8" x14ac:dyDescent="0.25">
      <c r="A30" s="319"/>
      <c r="B30" s="319"/>
      <c r="C30" s="318"/>
      <c r="D30" s="318"/>
      <c r="E30" s="318"/>
      <c r="F30" s="318"/>
      <c r="G30" s="318"/>
      <c r="H30" s="318"/>
    </row>
    <row r="31" spans="1:8" x14ac:dyDescent="0.25">
      <c r="A31" s="319"/>
      <c r="B31" s="319"/>
      <c r="C31" s="318"/>
      <c r="D31" s="318"/>
      <c r="E31" s="318"/>
      <c r="F31" s="318"/>
      <c r="G31" s="318"/>
      <c r="H31" s="318"/>
    </row>
    <row r="32" spans="1:8" x14ac:dyDescent="0.25">
      <c r="A32" s="319"/>
      <c r="B32" s="319"/>
      <c r="C32" s="318"/>
      <c r="D32" s="318"/>
      <c r="E32" s="318"/>
      <c r="F32" s="318"/>
      <c r="G32" s="318"/>
      <c r="H32" s="318"/>
    </row>
    <row r="33" spans="1:8" x14ac:dyDescent="0.25">
      <c r="A33" s="319"/>
      <c r="B33" s="319"/>
      <c r="C33" s="318"/>
      <c r="D33" s="318"/>
      <c r="E33" s="318"/>
      <c r="F33" s="318"/>
      <c r="G33" s="318"/>
      <c r="H33" s="318"/>
    </row>
    <row r="34" spans="1:8" x14ac:dyDescent="0.25">
      <c r="A34" s="319"/>
      <c r="B34" s="319"/>
      <c r="C34" s="318"/>
      <c r="D34" s="318"/>
      <c r="E34" s="318"/>
      <c r="F34" s="318"/>
      <c r="G34" s="318"/>
      <c r="H34" s="318"/>
    </row>
    <row r="35" spans="1:8" x14ac:dyDescent="0.25">
      <c r="A35" s="319"/>
      <c r="B35" s="319"/>
      <c r="C35" s="318"/>
      <c r="D35" s="318"/>
      <c r="E35" s="318"/>
      <c r="F35" s="318"/>
      <c r="G35" s="318"/>
      <c r="H35" s="318"/>
    </row>
    <row r="36" spans="1:8" x14ac:dyDescent="0.25">
      <c r="A36" s="319"/>
      <c r="B36" s="319"/>
      <c r="C36" s="318"/>
      <c r="D36" s="318"/>
      <c r="E36" s="318"/>
      <c r="F36" s="318"/>
      <c r="G36" s="318"/>
      <c r="H36" s="318"/>
    </row>
    <row r="37" spans="1:8" x14ac:dyDescent="0.25">
      <c r="A37" s="319"/>
      <c r="B37" s="319"/>
      <c r="C37" s="318"/>
      <c r="D37" s="318"/>
      <c r="E37" s="318"/>
      <c r="F37" s="318"/>
      <c r="G37" s="318"/>
      <c r="H37" s="318"/>
    </row>
    <row r="38" spans="1:8" x14ac:dyDescent="0.25">
      <c r="A38" s="319"/>
      <c r="B38" s="319"/>
      <c r="C38" s="318"/>
      <c r="D38" s="318"/>
      <c r="E38" s="318"/>
      <c r="F38" s="318"/>
      <c r="G38" s="318"/>
      <c r="H38" s="318"/>
    </row>
    <row r="39" spans="1:8" x14ac:dyDescent="0.25">
      <c r="A39" s="319"/>
      <c r="B39" s="319"/>
      <c r="C39" s="318"/>
      <c r="D39" s="318"/>
      <c r="E39" s="318"/>
      <c r="F39" s="318"/>
      <c r="G39" s="318"/>
      <c r="H39" s="318"/>
    </row>
    <row r="40" spans="1:8" x14ac:dyDescent="0.25">
      <c r="A40" s="319"/>
      <c r="B40" s="319"/>
      <c r="C40" s="318"/>
      <c r="D40" s="318"/>
      <c r="E40" s="318"/>
      <c r="F40" s="318"/>
      <c r="G40" s="318"/>
      <c r="H40" s="318"/>
    </row>
    <row r="41" spans="1:8" x14ac:dyDescent="0.25">
      <c r="A41" s="319"/>
      <c r="B41" s="319"/>
      <c r="C41" s="318"/>
      <c r="D41" s="318"/>
      <c r="E41" s="318"/>
      <c r="F41" s="318"/>
      <c r="G41" s="318"/>
      <c r="H41" s="318"/>
    </row>
    <row r="42" spans="1:8" x14ac:dyDescent="0.25">
      <c r="A42" s="319"/>
      <c r="B42" s="319"/>
      <c r="C42" s="318"/>
      <c r="D42" s="318"/>
      <c r="E42" s="318"/>
      <c r="F42" s="318"/>
      <c r="G42" s="318"/>
      <c r="H42" s="318"/>
    </row>
    <row r="43" spans="1:8" x14ac:dyDescent="0.25">
      <c r="A43" s="319"/>
      <c r="B43" s="319"/>
      <c r="C43" s="318"/>
      <c r="D43" s="318"/>
      <c r="E43" s="318"/>
      <c r="F43" s="318"/>
      <c r="G43" s="318"/>
      <c r="H43" s="318"/>
    </row>
    <row r="44" spans="1:8" x14ac:dyDescent="0.25">
      <c r="A44" s="319"/>
      <c r="B44" s="319"/>
      <c r="C44" s="318"/>
      <c r="D44" s="318"/>
      <c r="E44" s="318"/>
      <c r="F44" s="318"/>
      <c r="G44" s="318"/>
      <c r="H44" s="318"/>
    </row>
    <row r="45" spans="1:8" x14ac:dyDescent="0.25">
      <c r="A45" s="319"/>
      <c r="B45" s="319"/>
      <c r="C45" s="318"/>
      <c r="D45" s="318"/>
      <c r="E45" s="318"/>
      <c r="F45" s="318"/>
      <c r="G45" s="318"/>
      <c r="H45" s="318"/>
    </row>
    <row r="46" spans="1:8" x14ac:dyDescent="0.25">
      <c r="A46" s="319"/>
      <c r="B46" s="319"/>
      <c r="C46" s="318"/>
      <c r="D46" s="318"/>
      <c r="E46" s="318"/>
      <c r="F46" s="318"/>
      <c r="G46" s="318"/>
      <c r="H46" s="318"/>
    </row>
    <row r="47" spans="1:8" x14ac:dyDescent="0.25">
      <c r="A47" s="319"/>
      <c r="B47" s="319"/>
      <c r="C47" s="318"/>
      <c r="D47" s="318"/>
      <c r="E47" s="318"/>
      <c r="F47" s="318"/>
      <c r="G47" s="318"/>
      <c r="H47" s="318"/>
    </row>
    <row r="48" spans="1:8" x14ac:dyDescent="0.25">
      <c r="A48" s="319"/>
      <c r="B48" s="319"/>
      <c r="C48" s="318"/>
      <c r="D48" s="318"/>
      <c r="E48" s="318"/>
      <c r="F48" s="318"/>
      <c r="G48" s="318"/>
      <c r="H48" s="318"/>
    </row>
    <row r="49" spans="1:8" x14ac:dyDescent="0.25">
      <c r="A49" s="319"/>
      <c r="B49" s="319"/>
      <c r="C49" s="318"/>
      <c r="D49" s="318"/>
      <c r="E49" s="318"/>
      <c r="F49" s="318"/>
      <c r="G49" s="318"/>
      <c r="H49" s="318"/>
    </row>
    <row r="50" spans="1:8" x14ac:dyDescent="0.25">
      <c r="A50" s="319"/>
      <c r="B50" s="319"/>
      <c r="C50" s="318"/>
      <c r="D50" s="318"/>
      <c r="E50" s="318"/>
      <c r="F50" s="318"/>
      <c r="G50" s="318"/>
      <c r="H50" s="318"/>
    </row>
    <row r="51" spans="1:8" x14ac:dyDescent="0.25">
      <c r="A51" s="319"/>
      <c r="B51" s="319"/>
      <c r="C51" s="318"/>
      <c r="D51" s="318"/>
      <c r="E51" s="318"/>
      <c r="F51" s="318"/>
      <c r="G51" s="318"/>
      <c r="H51" s="318"/>
    </row>
    <row r="52" spans="1:8" x14ac:dyDescent="0.25">
      <c r="A52" s="319"/>
      <c r="B52" s="319"/>
      <c r="C52" s="318"/>
      <c r="D52" s="318"/>
      <c r="E52" s="318"/>
      <c r="F52" s="318"/>
      <c r="G52" s="318"/>
      <c r="H52" s="318"/>
    </row>
    <row r="53" spans="1:8" x14ac:dyDescent="0.25">
      <c r="A53" s="319"/>
      <c r="B53" s="319"/>
      <c r="C53" s="318"/>
      <c r="D53" s="318"/>
      <c r="E53" s="318"/>
      <c r="F53" s="318"/>
      <c r="G53" s="318"/>
      <c r="H53" s="318"/>
    </row>
    <row r="54" spans="1:8" x14ac:dyDescent="0.25">
      <c r="A54" s="319"/>
      <c r="B54" s="319"/>
      <c r="C54" s="318"/>
      <c r="D54" s="318"/>
      <c r="E54" s="318"/>
      <c r="F54" s="318"/>
      <c r="G54" s="318"/>
      <c r="H54" s="318"/>
    </row>
    <row r="55" spans="1:8" x14ac:dyDescent="0.25">
      <c r="A55" s="319"/>
      <c r="B55" s="319"/>
      <c r="C55" s="318"/>
      <c r="D55" s="318"/>
      <c r="E55" s="318"/>
      <c r="F55" s="318"/>
      <c r="G55" s="318"/>
      <c r="H55" s="318"/>
    </row>
    <row r="56" spans="1:8" x14ac:dyDescent="0.25">
      <c r="A56" s="319"/>
      <c r="B56" s="319"/>
      <c r="C56" s="318"/>
      <c r="D56" s="318"/>
      <c r="E56" s="318"/>
      <c r="F56" s="318"/>
      <c r="G56" s="318"/>
      <c r="H56" s="318"/>
    </row>
    <row r="57" spans="1:8" x14ac:dyDescent="0.25">
      <c r="A57" s="319"/>
      <c r="B57" s="319"/>
      <c r="C57" s="318"/>
      <c r="D57" s="318"/>
      <c r="E57" s="318"/>
      <c r="F57" s="318"/>
      <c r="G57" s="318"/>
      <c r="H57" s="318"/>
    </row>
    <row r="58" spans="1:8" x14ac:dyDescent="0.25">
      <c r="A58" s="319"/>
      <c r="B58" s="319"/>
      <c r="C58" s="318"/>
      <c r="D58" s="318"/>
      <c r="E58" s="318"/>
      <c r="F58" s="318"/>
      <c r="G58" s="318"/>
      <c r="H58" s="318"/>
    </row>
    <row r="59" spans="1:8" x14ac:dyDescent="0.25">
      <c r="A59" s="319"/>
      <c r="B59" s="319"/>
      <c r="C59" s="318"/>
      <c r="D59" s="318"/>
      <c r="E59" s="318"/>
      <c r="F59" s="318"/>
      <c r="G59" s="318"/>
      <c r="H59" s="318"/>
    </row>
    <row r="60" spans="1:8" x14ac:dyDescent="0.25">
      <c r="A60" s="319"/>
      <c r="B60" s="319"/>
      <c r="C60" s="318"/>
      <c r="D60" s="318"/>
      <c r="E60" s="318"/>
      <c r="F60" s="318"/>
      <c r="G60" s="318"/>
      <c r="H60" s="318"/>
    </row>
    <row r="61" spans="1:8" x14ac:dyDescent="0.25">
      <c r="A61" s="319"/>
      <c r="B61" s="319"/>
      <c r="C61" s="318"/>
      <c r="D61" s="318"/>
      <c r="E61" s="318"/>
      <c r="F61" s="318"/>
      <c r="G61" s="318"/>
      <c r="H61" s="318"/>
    </row>
    <row r="62" spans="1:8" x14ac:dyDescent="0.25">
      <c r="A62" s="319"/>
      <c r="B62" s="319"/>
      <c r="C62" s="318"/>
      <c r="D62" s="318"/>
      <c r="E62" s="318"/>
      <c r="F62" s="318"/>
      <c r="G62" s="318"/>
      <c r="H62" s="318"/>
    </row>
    <row r="63" spans="1:8" x14ac:dyDescent="0.25">
      <c r="A63" s="319"/>
      <c r="B63" s="319"/>
      <c r="C63" s="318"/>
      <c r="D63" s="318"/>
      <c r="E63" s="318"/>
      <c r="F63" s="318"/>
      <c r="G63" s="318"/>
      <c r="H63" s="318"/>
    </row>
    <row r="64" spans="1:8" x14ac:dyDescent="0.25">
      <c r="A64" s="319"/>
      <c r="B64" s="319"/>
      <c r="C64" s="318"/>
      <c r="D64" s="318"/>
      <c r="E64" s="318"/>
      <c r="F64" s="318"/>
      <c r="G64" s="318"/>
      <c r="H64" s="318"/>
    </row>
    <row r="65" spans="1:8" x14ac:dyDescent="0.25">
      <c r="A65" s="319"/>
      <c r="B65" s="319"/>
      <c r="C65" s="318"/>
      <c r="D65" s="318"/>
      <c r="E65" s="318"/>
      <c r="F65" s="318"/>
      <c r="G65" s="318"/>
      <c r="H65" s="318"/>
    </row>
    <row r="66" spans="1:8" x14ac:dyDescent="0.25">
      <c r="A66" s="319"/>
      <c r="B66" s="319"/>
      <c r="C66" s="318"/>
      <c r="D66" s="318"/>
      <c r="E66" s="318"/>
      <c r="F66" s="318"/>
      <c r="G66" s="318"/>
      <c r="H66" s="318"/>
    </row>
    <row r="67" spans="1:8" x14ac:dyDescent="0.25">
      <c r="A67" s="319"/>
      <c r="B67" s="319"/>
      <c r="C67" s="318"/>
      <c r="D67" s="318"/>
      <c r="E67" s="318"/>
      <c r="F67" s="318"/>
      <c r="G67" s="318"/>
      <c r="H67" s="318"/>
    </row>
    <row r="68" spans="1:8" x14ac:dyDescent="0.25">
      <c r="A68" s="319"/>
      <c r="B68" s="319"/>
      <c r="C68" s="318"/>
      <c r="D68" s="318"/>
      <c r="E68" s="318"/>
      <c r="F68" s="318"/>
      <c r="G68" s="318"/>
      <c r="H68" s="318"/>
    </row>
    <row r="69" spans="1:8" x14ac:dyDescent="0.25">
      <c r="A69" s="319"/>
      <c r="B69" s="319"/>
      <c r="C69" s="318"/>
      <c r="D69" s="318"/>
      <c r="E69" s="318"/>
      <c r="F69" s="318"/>
      <c r="G69" s="318"/>
      <c r="H69" s="318"/>
    </row>
    <row r="70" spans="1:8" x14ac:dyDescent="0.25">
      <c r="A70" s="319"/>
      <c r="B70" s="319"/>
      <c r="C70" s="318"/>
      <c r="D70" s="318"/>
      <c r="E70" s="318"/>
      <c r="F70" s="318"/>
      <c r="G70" s="318"/>
      <c r="H70" s="318"/>
    </row>
    <row r="71" spans="1:8" x14ac:dyDescent="0.25">
      <c r="A71" s="319"/>
      <c r="B71" s="319"/>
      <c r="C71" s="318"/>
      <c r="D71" s="318"/>
      <c r="E71" s="318"/>
      <c r="F71" s="318"/>
      <c r="G71" s="318"/>
      <c r="H71" s="318"/>
    </row>
    <row r="72" spans="1:8" x14ac:dyDescent="0.25">
      <c r="A72" s="319"/>
      <c r="B72" s="319"/>
      <c r="C72" s="318"/>
      <c r="D72" s="318"/>
      <c r="E72" s="318"/>
      <c r="F72" s="318"/>
      <c r="G72" s="318"/>
      <c r="H72" s="318"/>
    </row>
    <row r="73" spans="1:8" x14ac:dyDescent="0.25">
      <c r="A73" s="319"/>
      <c r="B73" s="319"/>
      <c r="C73" s="318"/>
      <c r="D73" s="318"/>
      <c r="E73" s="318"/>
      <c r="F73" s="318"/>
      <c r="G73" s="318"/>
      <c r="H73" s="318"/>
    </row>
    <row r="74" spans="1:8" x14ac:dyDescent="0.25">
      <c r="A74" s="319"/>
      <c r="B74" s="319"/>
      <c r="C74" s="318"/>
      <c r="D74" s="318"/>
      <c r="E74" s="318"/>
      <c r="F74" s="318"/>
      <c r="G74" s="318"/>
      <c r="H74" s="318"/>
    </row>
    <row r="75" spans="1:8" x14ac:dyDescent="0.25">
      <c r="A75" s="319"/>
      <c r="B75" s="319"/>
      <c r="C75" s="318"/>
      <c r="D75" s="318"/>
      <c r="E75" s="318"/>
      <c r="F75" s="318"/>
      <c r="G75" s="318"/>
      <c r="H75" s="318"/>
    </row>
    <row r="76" spans="1:8" x14ac:dyDescent="0.25">
      <c r="A76" s="319"/>
      <c r="B76" s="319"/>
      <c r="C76" s="318"/>
      <c r="D76" s="318"/>
      <c r="E76" s="318"/>
      <c r="F76" s="318"/>
      <c r="G76" s="318"/>
      <c r="H76" s="318"/>
    </row>
    <row r="77" spans="1:8" x14ac:dyDescent="0.25">
      <c r="A77" s="319"/>
      <c r="B77" s="319"/>
      <c r="C77" s="318"/>
      <c r="D77" s="318"/>
      <c r="E77" s="318"/>
      <c r="F77" s="318"/>
      <c r="G77" s="318"/>
      <c r="H77" s="318"/>
    </row>
    <row r="78" spans="1:8" x14ac:dyDescent="0.25">
      <c r="A78" s="319"/>
      <c r="B78" s="319"/>
      <c r="C78" s="318"/>
      <c r="D78" s="318"/>
      <c r="E78" s="318"/>
      <c r="F78" s="318"/>
      <c r="G78" s="318"/>
      <c r="H78" s="318"/>
    </row>
    <row r="79" spans="1:8" x14ac:dyDescent="0.25">
      <c r="A79" s="319"/>
      <c r="B79" s="319"/>
      <c r="C79" s="318"/>
      <c r="D79" s="318"/>
      <c r="E79" s="318"/>
      <c r="F79" s="318"/>
      <c r="G79" s="318"/>
      <c r="H79" s="318"/>
    </row>
    <row r="80" spans="1:8" x14ac:dyDescent="0.25">
      <c r="A80" s="319"/>
      <c r="B80" s="319"/>
      <c r="C80" s="318"/>
      <c r="D80" s="318"/>
      <c r="E80" s="318"/>
      <c r="F80" s="318"/>
      <c r="G80" s="318"/>
      <c r="H80" s="318"/>
    </row>
    <row r="81" spans="1:8" x14ac:dyDescent="0.25">
      <c r="A81" s="319"/>
      <c r="B81" s="319"/>
      <c r="C81" s="318"/>
      <c r="D81" s="318"/>
      <c r="E81" s="318"/>
      <c r="F81" s="318"/>
      <c r="G81" s="318"/>
      <c r="H81" s="318"/>
    </row>
    <row r="82" spans="1:8" x14ac:dyDescent="0.25">
      <c r="A82" s="319"/>
      <c r="B82" s="319"/>
      <c r="C82" s="318"/>
      <c r="D82" s="318"/>
      <c r="E82" s="318"/>
      <c r="F82" s="318"/>
      <c r="G82" s="318"/>
      <c r="H82" s="318"/>
    </row>
    <row r="83" spans="1:8" x14ac:dyDescent="0.25">
      <c r="A83" s="319"/>
      <c r="B83" s="319"/>
      <c r="C83" s="318"/>
      <c r="D83" s="318"/>
      <c r="E83" s="318"/>
      <c r="F83" s="318"/>
      <c r="G83" s="318"/>
      <c r="H83" s="318"/>
    </row>
    <row r="84" spans="1:8" x14ac:dyDescent="0.25">
      <c r="A84" s="319"/>
      <c r="B84" s="319"/>
      <c r="C84" s="318"/>
      <c r="D84" s="318"/>
      <c r="E84" s="318"/>
      <c r="F84" s="318"/>
      <c r="G84" s="318"/>
      <c r="H84" s="318"/>
    </row>
    <row r="85" spans="1:8" x14ac:dyDescent="0.25">
      <c r="A85" s="319"/>
      <c r="B85" s="319"/>
      <c r="C85" s="318"/>
      <c r="D85" s="318"/>
      <c r="E85" s="318"/>
      <c r="F85" s="318"/>
      <c r="G85" s="318"/>
      <c r="H85" s="318"/>
    </row>
    <row r="86" spans="1:8" x14ac:dyDescent="0.25">
      <c r="A86" s="319"/>
      <c r="B86" s="319"/>
      <c r="C86" s="318"/>
      <c r="D86" s="318"/>
      <c r="E86" s="318"/>
      <c r="F86" s="318"/>
      <c r="G86" s="318"/>
      <c r="H86" s="318"/>
    </row>
    <row r="87" spans="1:8" x14ac:dyDescent="0.25">
      <c r="A87" s="319"/>
      <c r="B87" s="319"/>
      <c r="C87" s="318"/>
      <c r="D87" s="318"/>
      <c r="E87" s="318"/>
      <c r="F87" s="318"/>
      <c r="G87" s="318"/>
      <c r="H87" s="318"/>
    </row>
    <row r="88" spans="1:8" x14ac:dyDescent="0.25">
      <c r="A88" s="319"/>
      <c r="B88" s="319"/>
      <c r="C88" s="318"/>
      <c r="D88" s="318"/>
      <c r="E88" s="318"/>
      <c r="F88" s="318"/>
      <c r="G88" s="318"/>
      <c r="H88" s="318"/>
    </row>
    <row r="89" spans="1:8" x14ac:dyDescent="0.25">
      <c r="A89" s="319"/>
      <c r="B89" s="319"/>
      <c r="C89" s="318"/>
      <c r="D89" s="318"/>
      <c r="E89" s="318"/>
      <c r="F89" s="318"/>
      <c r="G89" s="318"/>
      <c r="H89" s="318"/>
    </row>
    <row r="90" spans="1:8" x14ac:dyDescent="0.25">
      <c r="A90" s="319"/>
      <c r="B90" s="319"/>
      <c r="C90" s="318"/>
      <c r="D90" s="318"/>
      <c r="E90" s="318"/>
      <c r="F90" s="318"/>
      <c r="G90" s="318"/>
      <c r="H90" s="318"/>
    </row>
    <row r="91" spans="1:8" x14ac:dyDescent="0.25">
      <c r="A91" s="319"/>
      <c r="B91" s="319"/>
      <c r="C91" s="318"/>
      <c r="D91" s="318"/>
      <c r="E91" s="318"/>
      <c r="F91" s="318"/>
      <c r="G91" s="318"/>
      <c r="H91" s="318"/>
    </row>
    <row r="92" spans="1:8" x14ac:dyDescent="0.25">
      <c r="A92" s="319"/>
      <c r="B92" s="319"/>
      <c r="C92" s="318"/>
      <c r="D92" s="318"/>
      <c r="E92" s="318"/>
      <c r="F92" s="318"/>
      <c r="G92" s="318"/>
      <c r="H92" s="318"/>
    </row>
    <row r="93" spans="1:8" x14ac:dyDescent="0.25">
      <c r="A93" s="319"/>
      <c r="B93" s="319"/>
      <c r="C93" s="318"/>
      <c r="D93" s="318"/>
      <c r="E93" s="318"/>
      <c r="F93" s="318"/>
      <c r="G93" s="318"/>
      <c r="H93" s="318"/>
    </row>
    <row r="94" spans="1:8" x14ac:dyDescent="0.25">
      <c r="A94" s="319"/>
      <c r="B94" s="319"/>
      <c r="C94" s="318"/>
      <c r="D94" s="318"/>
      <c r="E94" s="318"/>
      <c r="F94" s="318"/>
      <c r="G94" s="318"/>
      <c r="H94" s="318"/>
    </row>
    <row r="95" spans="1:8" x14ac:dyDescent="0.25">
      <c r="A95" s="319"/>
      <c r="B95" s="319"/>
      <c r="C95" s="318"/>
      <c r="D95" s="318"/>
      <c r="E95" s="318"/>
      <c r="F95" s="318"/>
      <c r="G95" s="318"/>
      <c r="H95" s="318"/>
    </row>
    <row r="96" spans="1:8" x14ac:dyDescent="0.25">
      <c r="A96" s="319"/>
      <c r="B96" s="319"/>
      <c r="C96" s="318"/>
      <c r="D96" s="318"/>
      <c r="E96" s="318"/>
      <c r="F96" s="318"/>
      <c r="G96" s="318"/>
      <c r="H96" s="318"/>
    </row>
    <row r="97" spans="1:8" x14ac:dyDescent="0.25">
      <c r="A97" s="319"/>
      <c r="B97" s="319"/>
      <c r="C97" s="318"/>
      <c r="D97" s="318"/>
      <c r="E97" s="318"/>
      <c r="F97" s="318"/>
      <c r="G97" s="318"/>
      <c r="H97" s="318"/>
    </row>
    <row r="98" spans="1:8" x14ac:dyDescent="0.25">
      <c r="A98" s="319"/>
      <c r="B98" s="319"/>
      <c r="C98" s="318"/>
      <c r="D98" s="318"/>
      <c r="E98" s="318"/>
      <c r="F98" s="318"/>
      <c r="G98" s="318"/>
      <c r="H98" s="318"/>
    </row>
    <row r="99" spans="1:8" x14ac:dyDescent="0.25">
      <c r="A99" s="319"/>
      <c r="B99" s="319"/>
      <c r="C99" s="318"/>
      <c r="D99" s="318"/>
      <c r="E99" s="318"/>
      <c r="F99" s="318"/>
      <c r="G99" s="318"/>
      <c r="H99" s="318"/>
    </row>
    <row r="100" spans="1:8" x14ac:dyDescent="0.25">
      <c r="A100" s="319"/>
      <c r="B100" s="319"/>
      <c r="C100" s="318"/>
      <c r="D100" s="318"/>
      <c r="E100" s="318"/>
      <c r="F100" s="318"/>
      <c r="G100" s="318"/>
      <c r="H100" s="318"/>
    </row>
    <row r="101" spans="1:8" x14ac:dyDescent="0.25">
      <c r="A101" s="319"/>
      <c r="B101" s="319"/>
      <c r="C101" s="318"/>
      <c r="D101" s="318"/>
      <c r="E101" s="318"/>
      <c r="F101" s="318"/>
      <c r="G101" s="318"/>
      <c r="H101" s="318"/>
    </row>
    <row r="102" spans="1:8" x14ac:dyDescent="0.25">
      <c r="A102" s="319"/>
      <c r="B102" s="319"/>
      <c r="C102" s="318"/>
      <c r="D102" s="318"/>
      <c r="E102" s="318"/>
      <c r="F102" s="318"/>
      <c r="G102" s="318"/>
      <c r="H102" s="318"/>
    </row>
    <row r="103" spans="1:8" x14ac:dyDescent="0.25">
      <c r="A103" s="319"/>
      <c r="B103" s="319"/>
      <c r="C103" s="318"/>
      <c r="D103" s="318"/>
      <c r="E103" s="318"/>
      <c r="F103" s="318"/>
      <c r="G103" s="318"/>
      <c r="H103" s="318"/>
    </row>
    <row r="104" spans="1:8" x14ac:dyDescent="0.25">
      <c r="A104" s="314" t="s">
        <v>228</v>
      </c>
      <c r="B104" s="314">
        <f>14+10-19</f>
        <v>5</v>
      </c>
      <c r="C104" s="315"/>
      <c r="D104" s="315"/>
      <c r="E104" s="315"/>
      <c r="F104" s="315"/>
    </row>
    <row r="105" spans="1:8" x14ac:dyDescent="0.25">
      <c r="A105" s="29" t="s">
        <v>22</v>
      </c>
      <c r="B105" s="291">
        <f>SUM(B1:B104)</f>
        <v>5</v>
      </c>
      <c r="C105" s="28"/>
      <c r="D105" s="28"/>
      <c r="E105" s="28"/>
      <c r="F105" s="28"/>
    </row>
    <row r="106" spans="1:8" x14ac:dyDescent="0.25">
      <c r="B106" s="293"/>
    </row>
    <row r="107" spans="1:8" x14ac:dyDescent="0.25">
      <c r="B107" s="294"/>
    </row>
  </sheetData>
  <mergeCells count="2">
    <mergeCell ref="E2:F2"/>
    <mergeCell ref="A3:A11"/>
  </mergeCells>
  <pageMargins left="0.25" right="0.25" top="0.75" bottom="0.75" header="0.3" footer="0.3"/>
  <pageSetup paperSize="9" scale="5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1F06A-996A-4641-A077-B736511CC2F7}">
  <dimension ref="B2:H3"/>
  <sheetViews>
    <sheetView workbookViewId="0">
      <selection activeCell="G21" sqref="G21"/>
    </sheetView>
  </sheetViews>
  <sheetFormatPr defaultColWidth="9.140625" defaultRowHeight="15" x14ac:dyDescent="0.25"/>
  <cols>
    <col min="1" max="1" width="9.140625" style="16"/>
    <col min="2" max="2" width="34.28515625" style="16" customWidth="1"/>
    <col min="3" max="3" width="42.140625" style="16" customWidth="1"/>
    <col min="4" max="4" width="38.28515625" style="16" customWidth="1"/>
    <col min="5" max="7" width="27.140625" style="16" customWidth="1"/>
    <col min="8" max="8" width="20.140625" style="16" customWidth="1"/>
    <col min="9" max="9" width="47.42578125" style="16" customWidth="1"/>
    <col min="10" max="16384" width="9.140625" style="16"/>
  </cols>
  <sheetData>
    <row r="2" spans="2:8" ht="30" x14ac:dyDescent="0.25">
      <c r="B2" s="289" t="s">
        <v>224</v>
      </c>
      <c r="C2" s="289" t="s">
        <v>223</v>
      </c>
      <c r="D2" s="289" t="s">
        <v>222</v>
      </c>
      <c r="E2" s="289" t="s">
        <v>221</v>
      </c>
      <c r="F2" s="289" t="s">
        <v>220</v>
      </c>
      <c r="G2" s="289" t="s">
        <v>219</v>
      </c>
      <c r="H2" s="289" t="s">
        <v>218</v>
      </c>
    </row>
    <row r="3" spans="2:8" x14ac:dyDescent="0.25">
      <c r="B3" s="16" t="s">
        <v>217</v>
      </c>
      <c r="C3" s="16" t="s">
        <v>216</v>
      </c>
      <c r="D3" s="16" t="s">
        <v>215</v>
      </c>
      <c r="E3" s="16" t="s">
        <v>214</v>
      </c>
      <c r="F3" s="16" t="s">
        <v>213</v>
      </c>
      <c r="G3" s="16" t="s">
        <v>212</v>
      </c>
      <c r="H3" s="16">
        <v>16168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2DA1-75FB-46F2-8C9F-F87546052B89}">
  <dimension ref="A1:AJ96"/>
  <sheetViews>
    <sheetView topLeftCell="A22" workbookViewId="0">
      <selection activeCell="G21" sqref="G21"/>
    </sheetView>
  </sheetViews>
  <sheetFormatPr defaultColWidth="9.140625" defaultRowHeight="11.25" outlineLevelRow="1" outlineLevelCol="1" x14ac:dyDescent="0.2"/>
  <cols>
    <col min="1" max="1" width="52" style="288" customWidth="1"/>
    <col min="2" max="2" width="14.7109375" style="288" customWidth="1"/>
    <col min="3" max="3" width="13.7109375" style="288" customWidth="1"/>
    <col min="4" max="4" width="13.42578125" style="284" customWidth="1"/>
    <col min="5" max="5" width="10.7109375" style="284" hidden="1" customWidth="1" outlineLevel="1"/>
    <col min="6" max="6" width="11.140625" style="284" hidden="1" customWidth="1" outlineLevel="1"/>
    <col min="7" max="11" width="11.42578125" style="284" hidden="1" customWidth="1" outlineLevel="1"/>
    <col min="12" max="12" width="8.5703125" style="285" customWidth="1" collapsed="1"/>
    <col min="13" max="13" width="8" style="35" hidden="1" customWidth="1" outlineLevel="1"/>
    <col min="14" max="14" width="8" style="36" hidden="1" customWidth="1" outlineLevel="1"/>
    <col min="15" max="15" width="7.85546875" style="35" hidden="1" customWidth="1" outlineLevel="1"/>
    <col min="16" max="16" width="8" style="36" hidden="1" customWidth="1" outlineLevel="1"/>
    <col min="17" max="17" width="10.7109375" style="284" customWidth="1" collapsed="1"/>
    <col min="18" max="18" width="11.140625" style="284" customWidth="1"/>
    <col min="19" max="19" width="10.7109375" style="284" customWidth="1"/>
    <col min="20" max="20" width="11.140625" style="284" customWidth="1"/>
    <col min="21" max="30" width="8" style="37" hidden="1" customWidth="1"/>
    <col min="31" max="32" width="11.85546875" style="37" customWidth="1"/>
    <col min="33" max="36" width="8" style="37" hidden="1" customWidth="1"/>
    <col min="37" max="16384" width="9.140625" style="37"/>
  </cols>
  <sheetData>
    <row r="1" spans="1:34" ht="30" x14ac:dyDescent="0.25">
      <c r="A1" s="30" t="s">
        <v>23</v>
      </c>
      <c r="B1" s="31" t="s">
        <v>24</v>
      </c>
      <c r="C1" s="31"/>
      <c r="D1" s="32"/>
      <c r="E1" s="33" t="s">
        <v>25</v>
      </c>
      <c r="F1" s="32"/>
      <c r="G1" s="32"/>
      <c r="H1" s="32"/>
      <c r="I1" s="32"/>
      <c r="J1" s="32"/>
      <c r="K1" s="32"/>
      <c r="L1" s="34"/>
      <c r="Q1" s="33"/>
      <c r="R1" s="32"/>
      <c r="S1" s="33"/>
      <c r="T1" s="32"/>
      <c r="AE1" s="38" t="s">
        <v>26</v>
      </c>
      <c r="AF1" s="38" t="s">
        <v>27</v>
      </c>
    </row>
    <row r="2" spans="1:34" s="42" customFormat="1" ht="30" x14ac:dyDescent="0.25">
      <c r="A2" s="39" t="s">
        <v>28</v>
      </c>
      <c r="B2" s="39"/>
      <c r="C2" s="39"/>
      <c r="D2" s="40"/>
      <c r="E2" s="33" t="s">
        <v>29</v>
      </c>
      <c r="F2" s="40"/>
      <c r="G2" s="40"/>
      <c r="H2" s="40"/>
      <c r="I2" s="40"/>
      <c r="J2" s="40"/>
      <c r="K2" s="40"/>
      <c r="L2" s="41"/>
      <c r="N2" s="43"/>
      <c r="P2" s="43"/>
      <c r="Q2" s="44" t="s">
        <v>16</v>
      </c>
      <c r="R2" s="45"/>
      <c r="S2" s="44" t="s">
        <v>30</v>
      </c>
      <c r="T2" s="46"/>
      <c r="Y2" s="47"/>
      <c r="AE2" s="38" t="s">
        <v>31</v>
      </c>
      <c r="AF2" s="38" t="s">
        <v>32</v>
      </c>
    </row>
    <row r="3" spans="1:34" ht="75" customHeight="1" x14ac:dyDescent="0.2">
      <c r="A3" s="48" t="s">
        <v>33</v>
      </c>
      <c r="B3" s="49" t="s">
        <v>34</v>
      </c>
      <c r="C3" s="50" t="s">
        <v>35</v>
      </c>
      <c r="D3" s="51" t="s">
        <v>36</v>
      </c>
      <c r="E3" s="52" t="s">
        <v>37</v>
      </c>
      <c r="F3" s="53" t="s">
        <v>38</v>
      </c>
      <c r="G3" s="52" t="s">
        <v>39</v>
      </c>
      <c r="H3" s="54" t="s">
        <v>40</v>
      </c>
      <c r="I3" s="54" t="s">
        <v>41</v>
      </c>
      <c r="J3" s="54" t="s">
        <v>42</v>
      </c>
      <c r="K3" s="55" t="s">
        <v>43</v>
      </c>
      <c r="L3" s="56" t="s">
        <v>44</v>
      </c>
      <c r="M3" s="57" t="s">
        <v>45</v>
      </c>
      <c r="N3" s="58"/>
      <c r="O3" s="57"/>
      <c r="P3" s="58"/>
      <c r="Q3" s="59" t="s">
        <v>17</v>
      </c>
      <c r="R3" s="60" t="s">
        <v>18</v>
      </c>
      <c r="S3" s="59" t="s">
        <v>17</v>
      </c>
      <c r="T3" s="61" t="s">
        <v>18</v>
      </c>
      <c r="AE3" s="52" t="s">
        <v>46</v>
      </c>
      <c r="AF3" s="53" t="s">
        <v>19</v>
      </c>
    </row>
    <row r="4" spans="1:34" ht="15" outlineLevel="1" x14ac:dyDescent="0.25">
      <c r="A4" s="62" t="s">
        <v>47</v>
      </c>
      <c r="B4" s="63" t="s">
        <v>48</v>
      </c>
      <c r="C4" s="64"/>
      <c r="D4" s="65"/>
      <c r="E4" s="65"/>
      <c r="F4" s="65"/>
      <c r="G4" s="65"/>
      <c r="H4" s="65"/>
      <c r="I4" s="65"/>
      <c r="J4" s="65"/>
      <c r="K4" s="65"/>
      <c r="L4" s="66"/>
      <c r="N4" s="67"/>
      <c r="P4" s="67"/>
      <c r="Q4" s="65"/>
      <c r="R4" s="65"/>
      <c r="S4" s="68"/>
      <c r="T4" s="69"/>
      <c r="AE4" s="68"/>
      <c r="AF4" s="69"/>
    </row>
    <row r="5" spans="1:34" outlineLevel="1" x14ac:dyDescent="0.2">
      <c r="A5" s="70" t="s">
        <v>49</v>
      </c>
      <c r="B5" s="71" t="s">
        <v>50</v>
      </c>
      <c r="C5" s="72">
        <v>273</v>
      </c>
      <c r="D5" s="73">
        <v>432</v>
      </c>
      <c r="E5" s="74">
        <v>360</v>
      </c>
      <c r="F5" s="75">
        <v>72</v>
      </c>
      <c r="G5" s="76">
        <v>98</v>
      </c>
      <c r="H5" s="77">
        <v>129</v>
      </c>
      <c r="I5" s="77">
        <v>124</v>
      </c>
      <c r="J5" s="77">
        <v>58</v>
      </c>
      <c r="K5" s="78">
        <v>23</v>
      </c>
      <c r="L5" s="79">
        <v>-159</v>
      </c>
      <c r="M5" s="35">
        <v>432</v>
      </c>
      <c r="N5" s="67">
        <v>0</v>
      </c>
      <c r="O5" s="35">
        <v>432</v>
      </c>
      <c r="P5" s="67">
        <v>0</v>
      </c>
      <c r="Q5" s="74">
        <v>38</v>
      </c>
      <c r="R5" s="78">
        <v>171</v>
      </c>
      <c r="S5" s="76">
        <v>34</v>
      </c>
      <c r="T5" s="75">
        <v>189</v>
      </c>
      <c r="U5" s="37">
        <v>432</v>
      </c>
      <c r="V5" s="80">
        <v>0</v>
      </c>
      <c r="AE5" s="76">
        <v>266</v>
      </c>
      <c r="AF5" s="75">
        <v>166</v>
      </c>
      <c r="AG5" s="80">
        <v>432</v>
      </c>
      <c r="AH5" s="80">
        <v>0</v>
      </c>
    </row>
    <row r="6" spans="1:34" outlineLevel="1" x14ac:dyDescent="0.2">
      <c r="A6" s="81" t="s">
        <v>51</v>
      </c>
      <c r="B6" s="82" t="s">
        <v>52</v>
      </c>
      <c r="C6" s="83">
        <v>206</v>
      </c>
      <c r="D6" s="84">
        <v>430</v>
      </c>
      <c r="E6" s="85">
        <v>361</v>
      </c>
      <c r="F6" s="86">
        <v>69</v>
      </c>
      <c r="G6" s="87">
        <v>87</v>
      </c>
      <c r="H6" s="88">
        <v>164</v>
      </c>
      <c r="I6" s="88">
        <v>137</v>
      </c>
      <c r="J6" s="88">
        <v>34</v>
      </c>
      <c r="K6" s="89">
        <v>8</v>
      </c>
      <c r="L6" s="90">
        <v>-224</v>
      </c>
      <c r="M6" s="35">
        <v>430</v>
      </c>
      <c r="N6" s="67">
        <v>0</v>
      </c>
      <c r="O6" s="35">
        <v>430</v>
      </c>
      <c r="P6" s="67">
        <v>0</v>
      </c>
      <c r="Q6" s="85">
        <v>40</v>
      </c>
      <c r="R6" s="89">
        <v>194</v>
      </c>
      <c r="S6" s="87">
        <v>29</v>
      </c>
      <c r="T6" s="86">
        <v>167</v>
      </c>
      <c r="U6" s="37">
        <v>430</v>
      </c>
      <c r="V6" s="80">
        <v>0</v>
      </c>
      <c r="AE6" s="87">
        <v>303</v>
      </c>
      <c r="AF6" s="86">
        <v>127</v>
      </c>
      <c r="AG6" s="80">
        <v>430</v>
      </c>
      <c r="AH6" s="80">
        <v>0</v>
      </c>
    </row>
    <row r="7" spans="1:34" outlineLevel="1" x14ac:dyDescent="0.2">
      <c r="A7" s="81" t="s">
        <v>53</v>
      </c>
      <c r="B7" s="82" t="s">
        <v>54</v>
      </c>
      <c r="C7" s="83">
        <v>366</v>
      </c>
      <c r="D7" s="84">
        <v>477</v>
      </c>
      <c r="E7" s="85">
        <v>403</v>
      </c>
      <c r="F7" s="86">
        <v>74</v>
      </c>
      <c r="G7" s="87">
        <v>73</v>
      </c>
      <c r="H7" s="88">
        <v>170</v>
      </c>
      <c r="I7" s="88">
        <v>163</v>
      </c>
      <c r="J7" s="88">
        <v>61</v>
      </c>
      <c r="K7" s="89">
        <v>10</v>
      </c>
      <c r="L7" s="90">
        <v>-111</v>
      </c>
      <c r="M7" s="35">
        <v>477</v>
      </c>
      <c r="N7" s="67">
        <v>0</v>
      </c>
      <c r="O7" s="35">
        <v>477</v>
      </c>
      <c r="P7" s="67">
        <v>0</v>
      </c>
      <c r="Q7" s="85">
        <v>33</v>
      </c>
      <c r="R7" s="89">
        <v>192</v>
      </c>
      <c r="S7" s="87">
        <v>41</v>
      </c>
      <c r="T7" s="86">
        <v>211</v>
      </c>
      <c r="U7" s="37">
        <v>477</v>
      </c>
      <c r="V7" s="80">
        <v>0</v>
      </c>
      <c r="AE7" s="87">
        <v>308</v>
      </c>
      <c r="AF7" s="86">
        <v>169</v>
      </c>
      <c r="AG7" s="80">
        <v>477</v>
      </c>
      <c r="AH7" s="80">
        <v>0</v>
      </c>
    </row>
    <row r="8" spans="1:34" outlineLevel="1" x14ac:dyDescent="0.2">
      <c r="A8" s="81" t="s">
        <v>55</v>
      </c>
      <c r="B8" s="82" t="s">
        <v>56</v>
      </c>
      <c r="C8" s="83">
        <v>0</v>
      </c>
      <c r="D8" s="84">
        <v>0</v>
      </c>
      <c r="E8" s="85">
        <v>0</v>
      </c>
      <c r="F8" s="86">
        <v>0</v>
      </c>
      <c r="G8" s="87">
        <v>0</v>
      </c>
      <c r="H8" s="88">
        <v>0</v>
      </c>
      <c r="I8" s="88">
        <v>0</v>
      </c>
      <c r="J8" s="88">
        <v>0</v>
      </c>
      <c r="K8" s="89">
        <v>0</v>
      </c>
      <c r="L8" s="90">
        <v>0</v>
      </c>
      <c r="M8" s="35">
        <v>0</v>
      </c>
      <c r="N8" s="67">
        <v>0</v>
      </c>
      <c r="O8" s="35">
        <v>0</v>
      </c>
      <c r="P8" s="67">
        <v>0</v>
      </c>
      <c r="Q8" s="85">
        <v>0</v>
      </c>
      <c r="R8" s="89">
        <v>0</v>
      </c>
      <c r="S8" s="87">
        <v>0</v>
      </c>
      <c r="T8" s="86">
        <v>0</v>
      </c>
      <c r="U8" s="37">
        <v>0</v>
      </c>
      <c r="V8" s="80">
        <v>0</v>
      </c>
      <c r="AE8" s="87">
        <v>0</v>
      </c>
      <c r="AF8" s="86">
        <v>0</v>
      </c>
      <c r="AG8" s="80">
        <v>0</v>
      </c>
      <c r="AH8" s="80">
        <v>0</v>
      </c>
    </row>
    <row r="9" spans="1:34" outlineLevel="1" x14ac:dyDescent="0.2">
      <c r="A9" s="91" t="s">
        <v>21</v>
      </c>
      <c r="B9" s="82" t="s">
        <v>57</v>
      </c>
      <c r="C9" s="83">
        <v>24</v>
      </c>
      <c r="D9" s="84">
        <v>80</v>
      </c>
      <c r="E9" s="85">
        <v>58</v>
      </c>
      <c r="F9" s="86">
        <v>22</v>
      </c>
      <c r="G9" s="87">
        <v>11</v>
      </c>
      <c r="H9" s="88">
        <v>23</v>
      </c>
      <c r="I9" s="88">
        <v>36</v>
      </c>
      <c r="J9" s="88">
        <v>8</v>
      </c>
      <c r="K9" s="89">
        <v>2</v>
      </c>
      <c r="L9" s="90">
        <v>-56</v>
      </c>
      <c r="M9" s="35">
        <v>80</v>
      </c>
      <c r="N9" s="67">
        <v>0</v>
      </c>
      <c r="O9" s="35">
        <v>80</v>
      </c>
      <c r="P9" s="67">
        <v>0</v>
      </c>
      <c r="Q9" s="85">
        <v>4</v>
      </c>
      <c r="R9" s="89">
        <v>27</v>
      </c>
      <c r="S9" s="87">
        <v>18</v>
      </c>
      <c r="T9" s="86">
        <v>31</v>
      </c>
      <c r="U9" s="37">
        <v>80</v>
      </c>
      <c r="V9" s="80">
        <v>0</v>
      </c>
      <c r="AE9" s="87">
        <v>40</v>
      </c>
      <c r="AF9" s="86">
        <v>40</v>
      </c>
      <c r="AG9" s="80">
        <v>80</v>
      </c>
      <c r="AH9" s="80">
        <v>0</v>
      </c>
    </row>
    <row r="10" spans="1:34" outlineLevel="1" x14ac:dyDescent="0.2">
      <c r="A10" s="81" t="s">
        <v>58</v>
      </c>
      <c r="B10" s="82" t="s">
        <v>59</v>
      </c>
      <c r="C10" s="83">
        <v>271</v>
      </c>
      <c r="D10" s="84">
        <v>507</v>
      </c>
      <c r="E10" s="85">
        <v>371</v>
      </c>
      <c r="F10" s="86">
        <v>136</v>
      </c>
      <c r="G10" s="87">
        <v>151</v>
      </c>
      <c r="H10" s="88">
        <v>185</v>
      </c>
      <c r="I10" s="88">
        <v>123</v>
      </c>
      <c r="J10" s="88">
        <v>43</v>
      </c>
      <c r="K10" s="89">
        <v>5</v>
      </c>
      <c r="L10" s="90">
        <v>-236</v>
      </c>
      <c r="M10" s="35">
        <v>507</v>
      </c>
      <c r="N10" s="67">
        <v>0</v>
      </c>
      <c r="O10" s="35">
        <v>507</v>
      </c>
      <c r="P10" s="67">
        <v>0</v>
      </c>
      <c r="Q10" s="85">
        <v>81</v>
      </c>
      <c r="R10" s="89">
        <v>232</v>
      </c>
      <c r="S10" s="87">
        <v>55</v>
      </c>
      <c r="T10" s="86">
        <v>139</v>
      </c>
      <c r="U10" s="37">
        <v>507</v>
      </c>
      <c r="V10" s="80">
        <v>0</v>
      </c>
      <c r="AE10" s="87">
        <v>262</v>
      </c>
      <c r="AF10" s="86">
        <v>245</v>
      </c>
      <c r="AG10" s="80">
        <v>507</v>
      </c>
      <c r="AH10" s="80">
        <v>0</v>
      </c>
    </row>
    <row r="11" spans="1:34" outlineLevel="1" x14ac:dyDescent="0.2">
      <c r="A11" s="92" t="s">
        <v>60</v>
      </c>
      <c r="B11" s="93" t="s">
        <v>61</v>
      </c>
      <c r="C11" s="94">
        <v>780</v>
      </c>
      <c r="D11" s="95">
        <v>405</v>
      </c>
      <c r="E11" s="96">
        <v>351</v>
      </c>
      <c r="F11" s="97">
        <v>54</v>
      </c>
      <c r="G11" s="98">
        <v>50</v>
      </c>
      <c r="H11" s="99">
        <v>170</v>
      </c>
      <c r="I11" s="99">
        <v>128</v>
      </c>
      <c r="J11" s="99">
        <v>46</v>
      </c>
      <c r="K11" s="100">
        <v>11</v>
      </c>
      <c r="L11" s="90">
        <v>375</v>
      </c>
      <c r="M11" s="35">
        <v>405</v>
      </c>
      <c r="N11" s="67">
        <v>0</v>
      </c>
      <c r="O11" s="35">
        <v>405</v>
      </c>
      <c r="P11" s="67">
        <v>0</v>
      </c>
      <c r="Q11" s="96">
        <v>25</v>
      </c>
      <c r="R11" s="100">
        <v>179</v>
      </c>
      <c r="S11" s="98">
        <v>29</v>
      </c>
      <c r="T11" s="97">
        <v>172</v>
      </c>
      <c r="U11" s="37">
        <v>405</v>
      </c>
      <c r="V11" s="80">
        <v>0</v>
      </c>
      <c r="AE11" s="98">
        <v>296</v>
      </c>
      <c r="AF11" s="97">
        <v>109</v>
      </c>
      <c r="AG11" s="80">
        <v>405</v>
      </c>
      <c r="AH11" s="80">
        <v>0</v>
      </c>
    </row>
    <row r="12" spans="1:34" outlineLevel="1" x14ac:dyDescent="0.2">
      <c r="A12" s="91" t="s">
        <v>62</v>
      </c>
      <c r="B12" s="82" t="s">
        <v>63</v>
      </c>
      <c r="C12" s="83">
        <v>458</v>
      </c>
      <c r="D12" s="84">
        <v>351</v>
      </c>
      <c r="E12" s="85">
        <v>295</v>
      </c>
      <c r="F12" s="86">
        <v>56</v>
      </c>
      <c r="G12" s="87">
        <v>83</v>
      </c>
      <c r="H12" s="88">
        <v>125</v>
      </c>
      <c r="I12" s="88">
        <v>104</v>
      </c>
      <c r="J12" s="88">
        <v>32</v>
      </c>
      <c r="K12" s="89">
        <v>7</v>
      </c>
      <c r="L12" s="90">
        <v>107</v>
      </c>
      <c r="M12" s="35">
        <v>351</v>
      </c>
      <c r="N12" s="67">
        <v>0</v>
      </c>
      <c r="O12" s="35">
        <v>351</v>
      </c>
      <c r="P12" s="67">
        <v>0</v>
      </c>
      <c r="Q12" s="85">
        <v>33</v>
      </c>
      <c r="R12" s="89">
        <v>163</v>
      </c>
      <c r="S12" s="87">
        <v>23</v>
      </c>
      <c r="T12" s="86">
        <v>132</v>
      </c>
      <c r="U12" s="37">
        <v>351</v>
      </c>
      <c r="V12" s="80">
        <v>0</v>
      </c>
      <c r="AE12" s="87">
        <v>213</v>
      </c>
      <c r="AF12" s="86">
        <v>138</v>
      </c>
      <c r="AG12" s="80">
        <v>351</v>
      </c>
      <c r="AH12" s="80">
        <v>0</v>
      </c>
    </row>
    <row r="13" spans="1:34" outlineLevel="1" x14ac:dyDescent="0.2">
      <c r="A13" s="81" t="s">
        <v>64</v>
      </c>
      <c r="B13" s="82" t="s">
        <v>65</v>
      </c>
      <c r="C13" s="83">
        <v>161</v>
      </c>
      <c r="D13" s="84">
        <v>249</v>
      </c>
      <c r="E13" s="85">
        <v>213</v>
      </c>
      <c r="F13" s="86">
        <v>36</v>
      </c>
      <c r="G13" s="87">
        <v>47</v>
      </c>
      <c r="H13" s="88">
        <v>98</v>
      </c>
      <c r="I13" s="88">
        <v>66</v>
      </c>
      <c r="J13" s="88">
        <v>32</v>
      </c>
      <c r="K13" s="89">
        <v>6</v>
      </c>
      <c r="L13" s="90">
        <v>-88</v>
      </c>
      <c r="M13" s="35">
        <v>249</v>
      </c>
      <c r="N13" s="67">
        <v>0</v>
      </c>
      <c r="O13" s="35">
        <v>249</v>
      </c>
      <c r="P13" s="67">
        <v>0</v>
      </c>
      <c r="Q13" s="85">
        <v>23</v>
      </c>
      <c r="R13" s="89">
        <v>107</v>
      </c>
      <c r="S13" s="87">
        <v>13</v>
      </c>
      <c r="T13" s="86">
        <v>106</v>
      </c>
      <c r="U13" s="37">
        <v>249</v>
      </c>
      <c r="V13" s="80">
        <v>0</v>
      </c>
      <c r="AE13" s="87">
        <v>158</v>
      </c>
      <c r="AF13" s="86">
        <v>91</v>
      </c>
      <c r="AG13" s="80">
        <v>249</v>
      </c>
      <c r="AH13" s="80">
        <v>0</v>
      </c>
    </row>
    <row r="14" spans="1:34" outlineLevel="1" x14ac:dyDescent="0.2">
      <c r="A14" s="81" t="s">
        <v>66</v>
      </c>
      <c r="B14" s="82" t="s">
        <v>67</v>
      </c>
      <c r="C14" s="83">
        <v>0</v>
      </c>
      <c r="D14" s="84">
        <v>0</v>
      </c>
      <c r="E14" s="85">
        <v>0</v>
      </c>
      <c r="F14" s="86">
        <v>0</v>
      </c>
      <c r="G14" s="87">
        <v>0</v>
      </c>
      <c r="H14" s="88">
        <v>0</v>
      </c>
      <c r="I14" s="88">
        <v>0</v>
      </c>
      <c r="J14" s="88">
        <v>0</v>
      </c>
      <c r="K14" s="89">
        <v>0</v>
      </c>
      <c r="L14" s="90">
        <v>0</v>
      </c>
      <c r="M14" s="35">
        <v>0</v>
      </c>
      <c r="N14" s="67">
        <v>0</v>
      </c>
      <c r="O14" s="35">
        <v>0</v>
      </c>
      <c r="P14" s="67">
        <v>0</v>
      </c>
      <c r="Q14" s="85">
        <v>0</v>
      </c>
      <c r="R14" s="89">
        <v>0</v>
      </c>
      <c r="S14" s="87">
        <v>0</v>
      </c>
      <c r="T14" s="86">
        <v>0</v>
      </c>
      <c r="U14" s="37">
        <v>0</v>
      </c>
      <c r="V14" s="80">
        <v>0</v>
      </c>
      <c r="AE14" s="87">
        <v>0</v>
      </c>
      <c r="AF14" s="86">
        <v>0</v>
      </c>
      <c r="AG14" s="80">
        <v>0</v>
      </c>
      <c r="AH14" s="80">
        <v>0</v>
      </c>
    </row>
    <row r="15" spans="1:34" outlineLevel="1" x14ac:dyDescent="0.2">
      <c r="A15" s="81" t="s">
        <v>68</v>
      </c>
      <c r="B15" s="82" t="s">
        <v>69</v>
      </c>
      <c r="C15" s="83">
        <v>31</v>
      </c>
      <c r="D15" s="84">
        <v>35</v>
      </c>
      <c r="E15" s="85">
        <v>29</v>
      </c>
      <c r="F15" s="86">
        <v>6</v>
      </c>
      <c r="G15" s="87">
        <v>3</v>
      </c>
      <c r="H15" s="88">
        <v>11</v>
      </c>
      <c r="I15" s="88">
        <v>18</v>
      </c>
      <c r="J15" s="88">
        <v>2</v>
      </c>
      <c r="K15" s="89">
        <v>1</v>
      </c>
      <c r="L15" s="90">
        <v>-4</v>
      </c>
      <c r="M15" s="35">
        <v>35</v>
      </c>
      <c r="N15" s="67">
        <v>0</v>
      </c>
      <c r="O15" s="35">
        <v>35</v>
      </c>
      <c r="P15" s="67">
        <v>0</v>
      </c>
      <c r="Q15" s="85">
        <v>2</v>
      </c>
      <c r="R15" s="89">
        <v>11</v>
      </c>
      <c r="S15" s="87">
        <v>4</v>
      </c>
      <c r="T15" s="86">
        <v>18</v>
      </c>
      <c r="U15" s="37">
        <v>35</v>
      </c>
      <c r="V15" s="80">
        <v>0</v>
      </c>
      <c r="AE15" s="87">
        <v>23</v>
      </c>
      <c r="AF15" s="86">
        <v>12</v>
      </c>
      <c r="AG15" s="80">
        <v>35</v>
      </c>
      <c r="AH15" s="80">
        <v>0</v>
      </c>
    </row>
    <row r="16" spans="1:34" outlineLevel="1" x14ac:dyDescent="0.2">
      <c r="A16" s="81" t="s">
        <v>70</v>
      </c>
      <c r="B16" s="82" t="s">
        <v>71</v>
      </c>
      <c r="C16" s="83">
        <v>382</v>
      </c>
      <c r="D16" s="84">
        <v>532</v>
      </c>
      <c r="E16" s="85">
        <v>439</v>
      </c>
      <c r="F16" s="86">
        <v>93</v>
      </c>
      <c r="G16" s="87">
        <v>114</v>
      </c>
      <c r="H16" s="88">
        <v>204</v>
      </c>
      <c r="I16" s="88">
        <v>162</v>
      </c>
      <c r="J16" s="88">
        <v>42</v>
      </c>
      <c r="K16" s="89">
        <v>10</v>
      </c>
      <c r="L16" s="90">
        <v>-150</v>
      </c>
      <c r="M16" s="35">
        <v>532</v>
      </c>
      <c r="N16" s="67">
        <v>0</v>
      </c>
      <c r="O16" s="35">
        <v>532</v>
      </c>
      <c r="P16" s="67">
        <v>0</v>
      </c>
      <c r="Q16" s="85">
        <v>49</v>
      </c>
      <c r="R16" s="89">
        <v>245</v>
      </c>
      <c r="S16" s="87">
        <v>44</v>
      </c>
      <c r="T16" s="86">
        <v>194</v>
      </c>
      <c r="U16" s="37">
        <v>532</v>
      </c>
      <c r="V16" s="80">
        <v>0</v>
      </c>
      <c r="AE16" s="87">
        <v>302</v>
      </c>
      <c r="AF16" s="86">
        <v>230</v>
      </c>
      <c r="AG16" s="80">
        <v>532</v>
      </c>
      <c r="AH16" s="80">
        <v>0</v>
      </c>
    </row>
    <row r="17" spans="1:34" outlineLevel="1" x14ac:dyDescent="0.2">
      <c r="A17" s="101" t="s">
        <v>72</v>
      </c>
      <c r="B17" s="82" t="s">
        <v>73</v>
      </c>
      <c r="C17" s="83">
        <v>164</v>
      </c>
      <c r="D17" s="84">
        <v>238</v>
      </c>
      <c r="E17" s="85">
        <v>189</v>
      </c>
      <c r="F17" s="86">
        <v>49</v>
      </c>
      <c r="G17" s="87">
        <v>62</v>
      </c>
      <c r="H17" s="88">
        <v>79</v>
      </c>
      <c r="I17" s="88">
        <v>66</v>
      </c>
      <c r="J17" s="88">
        <v>22</v>
      </c>
      <c r="K17" s="89">
        <v>9</v>
      </c>
      <c r="L17" s="90">
        <v>-74</v>
      </c>
      <c r="M17" s="35">
        <v>238</v>
      </c>
      <c r="N17" s="67">
        <v>0</v>
      </c>
      <c r="O17" s="35">
        <v>238</v>
      </c>
      <c r="P17" s="67">
        <v>0</v>
      </c>
      <c r="Q17" s="85">
        <v>27</v>
      </c>
      <c r="R17" s="89">
        <v>101</v>
      </c>
      <c r="S17" s="87">
        <v>22</v>
      </c>
      <c r="T17" s="86">
        <v>88</v>
      </c>
      <c r="U17" s="37">
        <v>238</v>
      </c>
      <c r="V17" s="80">
        <v>0</v>
      </c>
      <c r="AE17" s="87">
        <v>151</v>
      </c>
      <c r="AF17" s="86">
        <v>87</v>
      </c>
      <c r="AG17" s="80">
        <v>238</v>
      </c>
      <c r="AH17" s="80">
        <v>0</v>
      </c>
    </row>
    <row r="18" spans="1:34" outlineLevel="1" x14ac:dyDescent="0.2">
      <c r="A18" s="102" t="s">
        <v>74</v>
      </c>
      <c r="B18" s="82" t="s">
        <v>75</v>
      </c>
      <c r="C18" s="83">
        <v>424</v>
      </c>
      <c r="D18" s="84">
        <v>559</v>
      </c>
      <c r="E18" s="85">
        <v>458</v>
      </c>
      <c r="F18" s="86">
        <v>101</v>
      </c>
      <c r="G18" s="87">
        <v>94</v>
      </c>
      <c r="H18" s="88">
        <v>215</v>
      </c>
      <c r="I18" s="88">
        <v>172</v>
      </c>
      <c r="J18" s="88">
        <v>58</v>
      </c>
      <c r="K18" s="89">
        <v>20</v>
      </c>
      <c r="L18" s="90">
        <v>-135</v>
      </c>
      <c r="M18" s="35">
        <v>559</v>
      </c>
      <c r="N18" s="67">
        <v>0</v>
      </c>
      <c r="O18" s="35">
        <v>559</v>
      </c>
      <c r="P18" s="67">
        <v>0</v>
      </c>
      <c r="Q18" s="85">
        <v>60</v>
      </c>
      <c r="R18" s="89">
        <v>231</v>
      </c>
      <c r="S18" s="87">
        <v>41</v>
      </c>
      <c r="T18" s="86">
        <v>227</v>
      </c>
      <c r="U18" s="37">
        <v>559</v>
      </c>
      <c r="V18" s="80">
        <v>0</v>
      </c>
      <c r="AE18" s="87">
        <v>371</v>
      </c>
      <c r="AF18" s="86">
        <v>188</v>
      </c>
      <c r="AG18" s="80">
        <v>559</v>
      </c>
      <c r="AH18" s="80">
        <v>0</v>
      </c>
    </row>
    <row r="19" spans="1:34" outlineLevel="1" x14ac:dyDescent="0.2">
      <c r="A19" s="91" t="s">
        <v>76</v>
      </c>
      <c r="B19" s="82" t="s">
        <v>77</v>
      </c>
      <c r="C19" s="83">
        <v>241</v>
      </c>
      <c r="D19" s="84">
        <v>400</v>
      </c>
      <c r="E19" s="85">
        <v>348</v>
      </c>
      <c r="F19" s="86">
        <v>52</v>
      </c>
      <c r="G19" s="87">
        <v>92</v>
      </c>
      <c r="H19" s="88">
        <v>161</v>
      </c>
      <c r="I19" s="88">
        <v>98</v>
      </c>
      <c r="J19" s="88">
        <v>42</v>
      </c>
      <c r="K19" s="89">
        <v>7</v>
      </c>
      <c r="L19" s="90">
        <v>-159</v>
      </c>
      <c r="M19" s="35">
        <v>400</v>
      </c>
      <c r="N19" s="67">
        <v>0</v>
      </c>
      <c r="O19" s="35">
        <v>400</v>
      </c>
      <c r="P19" s="67">
        <v>0</v>
      </c>
      <c r="Q19" s="85">
        <v>25</v>
      </c>
      <c r="R19" s="89">
        <v>214</v>
      </c>
      <c r="S19" s="87">
        <v>27</v>
      </c>
      <c r="T19" s="86">
        <v>134</v>
      </c>
      <c r="U19" s="37">
        <v>400</v>
      </c>
      <c r="V19" s="80">
        <v>0</v>
      </c>
      <c r="AE19" s="87">
        <v>253</v>
      </c>
      <c r="AF19" s="86">
        <v>147</v>
      </c>
      <c r="AG19" s="80">
        <v>400</v>
      </c>
      <c r="AH19" s="80">
        <v>0</v>
      </c>
    </row>
    <row r="20" spans="1:34" outlineLevel="1" x14ac:dyDescent="0.2">
      <c r="A20" s="103" t="s">
        <v>78</v>
      </c>
      <c r="B20" s="104" t="s">
        <v>79</v>
      </c>
      <c r="C20" s="105">
        <v>76</v>
      </c>
      <c r="D20" s="106">
        <v>78</v>
      </c>
      <c r="E20" s="107">
        <v>63</v>
      </c>
      <c r="F20" s="108">
        <v>15</v>
      </c>
      <c r="G20" s="109">
        <v>13</v>
      </c>
      <c r="H20" s="110">
        <v>27</v>
      </c>
      <c r="I20" s="110">
        <v>21</v>
      </c>
      <c r="J20" s="110">
        <v>17</v>
      </c>
      <c r="K20" s="111">
        <v>0</v>
      </c>
      <c r="L20" s="112">
        <v>-2</v>
      </c>
      <c r="M20" s="35">
        <v>78</v>
      </c>
      <c r="N20" s="67">
        <v>0</v>
      </c>
      <c r="O20" s="35">
        <v>78</v>
      </c>
      <c r="P20" s="67">
        <v>0</v>
      </c>
      <c r="Q20" s="107">
        <v>6</v>
      </c>
      <c r="R20" s="111">
        <v>34</v>
      </c>
      <c r="S20" s="109">
        <v>9</v>
      </c>
      <c r="T20" s="108">
        <v>29</v>
      </c>
      <c r="U20" s="37">
        <v>78</v>
      </c>
      <c r="V20" s="80">
        <v>0</v>
      </c>
      <c r="AE20" s="109">
        <v>46</v>
      </c>
      <c r="AF20" s="108">
        <v>32</v>
      </c>
      <c r="AG20" s="80">
        <v>78</v>
      </c>
      <c r="AH20" s="80">
        <v>0</v>
      </c>
    </row>
    <row r="21" spans="1:34" outlineLevel="1" x14ac:dyDescent="0.2">
      <c r="A21" s="91" t="s">
        <v>80</v>
      </c>
      <c r="B21" s="82" t="s">
        <v>81</v>
      </c>
      <c r="C21" s="83">
        <v>447</v>
      </c>
      <c r="D21" s="84">
        <v>605</v>
      </c>
      <c r="E21" s="85">
        <v>512</v>
      </c>
      <c r="F21" s="86">
        <v>93</v>
      </c>
      <c r="G21" s="87">
        <v>80</v>
      </c>
      <c r="H21" s="88">
        <v>225</v>
      </c>
      <c r="I21" s="88">
        <v>176</v>
      </c>
      <c r="J21" s="88">
        <v>107</v>
      </c>
      <c r="K21" s="89">
        <v>17</v>
      </c>
      <c r="L21" s="90">
        <v>-158</v>
      </c>
      <c r="M21" s="35">
        <v>605</v>
      </c>
      <c r="N21" s="67">
        <v>0</v>
      </c>
      <c r="O21" s="35">
        <v>605</v>
      </c>
      <c r="P21" s="67">
        <v>0</v>
      </c>
      <c r="Q21" s="85">
        <v>53</v>
      </c>
      <c r="R21" s="89">
        <v>228</v>
      </c>
      <c r="S21" s="87">
        <v>40</v>
      </c>
      <c r="T21" s="86">
        <v>284</v>
      </c>
      <c r="U21" s="37">
        <v>605</v>
      </c>
      <c r="V21" s="80">
        <v>0</v>
      </c>
      <c r="AE21" s="87">
        <v>403</v>
      </c>
      <c r="AF21" s="86">
        <v>202</v>
      </c>
      <c r="AG21" s="80">
        <v>605</v>
      </c>
      <c r="AH21" s="80">
        <v>0</v>
      </c>
    </row>
    <row r="22" spans="1:34" outlineLevel="1" x14ac:dyDescent="0.2">
      <c r="A22" s="91" t="s">
        <v>14</v>
      </c>
      <c r="B22" s="82" t="s">
        <v>82</v>
      </c>
      <c r="C22" s="83">
        <v>7</v>
      </c>
      <c r="D22" s="84">
        <v>44</v>
      </c>
      <c r="E22" s="85">
        <v>39</v>
      </c>
      <c r="F22" s="86">
        <v>5</v>
      </c>
      <c r="G22" s="87">
        <v>7</v>
      </c>
      <c r="H22" s="88">
        <v>14</v>
      </c>
      <c r="I22" s="88">
        <v>15</v>
      </c>
      <c r="J22" s="88">
        <v>6</v>
      </c>
      <c r="K22" s="89">
        <v>2</v>
      </c>
      <c r="L22" s="90">
        <v>-37</v>
      </c>
      <c r="M22" s="35">
        <v>44</v>
      </c>
      <c r="N22" s="67">
        <v>0</v>
      </c>
      <c r="O22" s="35">
        <v>44</v>
      </c>
      <c r="P22" s="67">
        <v>0</v>
      </c>
      <c r="Q22" s="85">
        <v>1</v>
      </c>
      <c r="R22" s="89">
        <v>19</v>
      </c>
      <c r="S22" s="87">
        <v>4</v>
      </c>
      <c r="T22" s="86">
        <v>20</v>
      </c>
      <c r="U22" s="37">
        <v>44</v>
      </c>
      <c r="V22" s="80">
        <v>0</v>
      </c>
      <c r="AE22" s="87">
        <v>26</v>
      </c>
      <c r="AF22" s="86">
        <v>18</v>
      </c>
      <c r="AG22" s="80">
        <v>44</v>
      </c>
      <c r="AH22" s="80">
        <v>0</v>
      </c>
    </row>
    <row r="23" spans="1:34" outlineLevel="1" x14ac:dyDescent="0.2">
      <c r="A23" s="113" t="s">
        <v>83</v>
      </c>
      <c r="B23" s="114" t="s">
        <v>84</v>
      </c>
      <c r="C23" s="115">
        <v>39</v>
      </c>
      <c r="D23" s="116">
        <v>104</v>
      </c>
      <c r="E23" s="117">
        <v>80</v>
      </c>
      <c r="F23" s="118">
        <v>24</v>
      </c>
      <c r="G23" s="119">
        <v>26</v>
      </c>
      <c r="H23" s="120">
        <v>38</v>
      </c>
      <c r="I23" s="120">
        <v>26</v>
      </c>
      <c r="J23" s="120">
        <v>12</v>
      </c>
      <c r="K23" s="121">
        <v>2</v>
      </c>
      <c r="L23" s="122">
        <v>-65</v>
      </c>
      <c r="M23" s="35">
        <v>104</v>
      </c>
      <c r="N23" s="67">
        <v>0</v>
      </c>
      <c r="O23" s="35">
        <v>104</v>
      </c>
      <c r="P23" s="67">
        <v>0</v>
      </c>
      <c r="Q23" s="117">
        <v>13</v>
      </c>
      <c r="R23" s="121">
        <v>48</v>
      </c>
      <c r="S23" s="119">
        <v>11</v>
      </c>
      <c r="T23" s="118">
        <v>32</v>
      </c>
      <c r="U23" s="37">
        <v>104</v>
      </c>
      <c r="V23" s="80">
        <v>0</v>
      </c>
      <c r="AE23" s="119">
        <v>77</v>
      </c>
      <c r="AF23" s="118">
        <v>27</v>
      </c>
      <c r="AG23" s="80">
        <v>104</v>
      </c>
      <c r="AH23" s="80">
        <v>0</v>
      </c>
    </row>
    <row r="24" spans="1:34" ht="15" x14ac:dyDescent="0.25">
      <c r="A24" s="123" t="s">
        <v>85</v>
      </c>
      <c r="B24" s="124" t="s">
        <v>48</v>
      </c>
      <c r="C24" s="125">
        <v>4350</v>
      </c>
      <c r="D24" s="125">
        <v>5526</v>
      </c>
      <c r="E24" s="125">
        <v>4569</v>
      </c>
      <c r="F24" s="125">
        <v>957</v>
      </c>
      <c r="G24" s="125">
        <v>1091</v>
      </c>
      <c r="H24" s="125">
        <v>2038</v>
      </c>
      <c r="I24" s="125">
        <v>1635</v>
      </c>
      <c r="J24" s="125">
        <v>622</v>
      </c>
      <c r="K24" s="126">
        <v>140</v>
      </c>
      <c r="L24" s="127">
        <v>-1176</v>
      </c>
      <c r="M24" s="35">
        <v>5526</v>
      </c>
      <c r="N24" s="67">
        <v>0</v>
      </c>
      <c r="O24" s="35">
        <v>5526</v>
      </c>
      <c r="P24" s="67">
        <v>0</v>
      </c>
      <c r="Q24" s="125">
        <v>513</v>
      </c>
      <c r="R24" s="126">
        <v>2396</v>
      </c>
      <c r="S24" s="128">
        <v>444</v>
      </c>
      <c r="T24" s="125">
        <v>2173</v>
      </c>
      <c r="U24" s="80">
        <v>5526</v>
      </c>
      <c r="V24" s="37">
        <v>0</v>
      </c>
      <c r="AE24" s="128">
        <v>3498</v>
      </c>
      <c r="AF24" s="129">
        <v>2028</v>
      </c>
      <c r="AG24" s="80">
        <v>5526</v>
      </c>
      <c r="AH24" s="80">
        <v>0</v>
      </c>
    </row>
    <row r="25" spans="1:34" ht="15" outlineLevel="1" x14ac:dyDescent="0.25">
      <c r="A25" s="62" t="s">
        <v>86</v>
      </c>
      <c r="B25" s="63" t="s">
        <v>87</v>
      </c>
      <c r="C25" s="64"/>
      <c r="D25" s="65"/>
      <c r="E25" s="65"/>
      <c r="F25" s="65"/>
      <c r="G25" s="65"/>
      <c r="H25" s="65"/>
      <c r="I25" s="65"/>
      <c r="J25" s="65"/>
      <c r="K25" s="65"/>
      <c r="L25" s="66"/>
      <c r="M25" s="35">
        <v>0</v>
      </c>
      <c r="N25" s="67">
        <v>0</v>
      </c>
      <c r="O25" s="35">
        <v>0</v>
      </c>
      <c r="P25" s="67">
        <v>0</v>
      </c>
      <c r="Q25" s="65"/>
      <c r="R25" s="65"/>
      <c r="S25" s="68"/>
      <c r="T25" s="69"/>
      <c r="V25" s="37">
        <v>0</v>
      </c>
      <c r="AE25" s="68"/>
      <c r="AF25" s="69"/>
      <c r="AG25" s="80">
        <v>0</v>
      </c>
      <c r="AH25" s="80">
        <v>0</v>
      </c>
    </row>
    <row r="26" spans="1:34" outlineLevel="1" x14ac:dyDescent="0.2">
      <c r="A26" s="130" t="s">
        <v>88</v>
      </c>
      <c r="B26" s="71" t="s">
        <v>89</v>
      </c>
      <c r="C26" s="72">
        <v>220</v>
      </c>
      <c r="D26" s="73">
        <v>219</v>
      </c>
      <c r="E26" s="74">
        <v>145</v>
      </c>
      <c r="F26" s="75">
        <v>74</v>
      </c>
      <c r="G26" s="76">
        <v>22</v>
      </c>
      <c r="H26" s="77">
        <v>46</v>
      </c>
      <c r="I26" s="77">
        <v>59</v>
      </c>
      <c r="J26" s="77">
        <v>65</v>
      </c>
      <c r="K26" s="78">
        <v>27</v>
      </c>
      <c r="L26" s="79">
        <v>1</v>
      </c>
      <c r="M26" s="35">
        <v>219</v>
      </c>
      <c r="N26" s="67">
        <v>0</v>
      </c>
      <c r="O26" s="35">
        <v>219</v>
      </c>
      <c r="P26" s="67">
        <v>0</v>
      </c>
      <c r="Q26" s="74">
        <v>21</v>
      </c>
      <c r="R26" s="78">
        <v>36</v>
      </c>
      <c r="S26" s="76">
        <v>53</v>
      </c>
      <c r="T26" s="75">
        <v>109</v>
      </c>
      <c r="U26" s="37">
        <v>219</v>
      </c>
      <c r="V26" s="37">
        <v>0</v>
      </c>
      <c r="AE26" s="76">
        <v>157</v>
      </c>
      <c r="AF26" s="75">
        <v>62</v>
      </c>
      <c r="AG26" s="80">
        <v>219</v>
      </c>
      <c r="AH26" s="80">
        <v>0</v>
      </c>
    </row>
    <row r="27" spans="1:34" outlineLevel="1" x14ac:dyDescent="0.2">
      <c r="A27" s="131" t="s">
        <v>90</v>
      </c>
      <c r="B27" s="132" t="s">
        <v>91</v>
      </c>
      <c r="C27" s="133">
        <v>74</v>
      </c>
      <c r="D27" s="134">
        <v>87</v>
      </c>
      <c r="E27" s="135">
        <v>65</v>
      </c>
      <c r="F27" s="136">
        <v>22</v>
      </c>
      <c r="G27" s="137">
        <v>21</v>
      </c>
      <c r="H27" s="138">
        <v>24</v>
      </c>
      <c r="I27" s="138">
        <v>19</v>
      </c>
      <c r="J27" s="138">
        <v>13</v>
      </c>
      <c r="K27" s="139">
        <v>10</v>
      </c>
      <c r="L27" s="140">
        <v>-13</v>
      </c>
      <c r="M27" s="35">
        <v>87</v>
      </c>
      <c r="N27" s="67">
        <v>0</v>
      </c>
      <c r="O27" s="35">
        <v>87</v>
      </c>
      <c r="P27" s="67">
        <v>0</v>
      </c>
      <c r="Q27" s="135">
        <v>8</v>
      </c>
      <c r="R27" s="139">
        <v>36</v>
      </c>
      <c r="S27" s="137">
        <v>14</v>
      </c>
      <c r="T27" s="136">
        <v>29</v>
      </c>
      <c r="U27" s="37">
        <v>87</v>
      </c>
      <c r="V27" s="37">
        <v>0</v>
      </c>
      <c r="AE27" s="137">
        <v>59</v>
      </c>
      <c r="AF27" s="136">
        <v>28</v>
      </c>
      <c r="AG27" s="80">
        <v>87</v>
      </c>
      <c r="AH27" s="80">
        <v>0</v>
      </c>
    </row>
    <row r="28" spans="1:34" outlineLevel="1" x14ac:dyDescent="0.2">
      <c r="A28" s="141" t="s">
        <v>92</v>
      </c>
      <c r="B28" s="82" t="s">
        <v>93</v>
      </c>
      <c r="C28" s="83">
        <v>224</v>
      </c>
      <c r="D28" s="84">
        <v>266</v>
      </c>
      <c r="E28" s="85">
        <v>121</v>
      </c>
      <c r="F28" s="86">
        <v>145</v>
      </c>
      <c r="G28" s="87">
        <v>22</v>
      </c>
      <c r="H28" s="88">
        <v>66</v>
      </c>
      <c r="I28" s="88">
        <v>88</v>
      </c>
      <c r="J28" s="88">
        <v>50</v>
      </c>
      <c r="K28" s="89">
        <v>40</v>
      </c>
      <c r="L28" s="90">
        <v>-42</v>
      </c>
      <c r="M28" s="35">
        <v>266</v>
      </c>
      <c r="N28" s="67">
        <v>0</v>
      </c>
      <c r="O28" s="35">
        <v>266</v>
      </c>
      <c r="P28" s="67">
        <v>0</v>
      </c>
      <c r="Q28" s="85">
        <v>38</v>
      </c>
      <c r="R28" s="89">
        <v>40</v>
      </c>
      <c r="S28" s="87">
        <v>107</v>
      </c>
      <c r="T28" s="86">
        <v>81</v>
      </c>
      <c r="U28" s="37">
        <v>266</v>
      </c>
      <c r="V28" s="37">
        <v>0</v>
      </c>
      <c r="AE28" s="87">
        <v>157</v>
      </c>
      <c r="AF28" s="86">
        <v>109</v>
      </c>
      <c r="AG28" s="80">
        <v>266</v>
      </c>
      <c r="AH28" s="80">
        <v>0</v>
      </c>
    </row>
    <row r="29" spans="1:34" outlineLevel="1" x14ac:dyDescent="0.2">
      <c r="A29" s="141" t="s">
        <v>94</v>
      </c>
      <c r="B29" s="82" t="s">
        <v>95</v>
      </c>
      <c r="C29" s="83">
        <v>774</v>
      </c>
      <c r="D29" s="84">
        <v>823</v>
      </c>
      <c r="E29" s="85">
        <v>520</v>
      </c>
      <c r="F29" s="86">
        <v>303</v>
      </c>
      <c r="G29" s="87">
        <v>78</v>
      </c>
      <c r="H29" s="88">
        <v>266</v>
      </c>
      <c r="I29" s="88">
        <v>271</v>
      </c>
      <c r="J29" s="88">
        <v>172</v>
      </c>
      <c r="K29" s="89">
        <v>36</v>
      </c>
      <c r="L29" s="90">
        <v>-49</v>
      </c>
      <c r="M29" s="35">
        <v>823</v>
      </c>
      <c r="N29" s="67">
        <v>0</v>
      </c>
      <c r="O29" s="35">
        <v>823</v>
      </c>
      <c r="P29" s="67">
        <v>0</v>
      </c>
      <c r="Q29" s="85">
        <v>104</v>
      </c>
      <c r="R29" s="89">
        <v>213</v>
      </c>
      <c r="S29" s="87">
        <v>199</v>
      </c>
      <c r="T29" s="86">
        <v>307</v>
      </c>
      <c r="U29" s="37">
        <v>823</v>
      </c>
      <c r="V29" s="37">
        <v>0</v>
      </c>
      <c r="AE29" s="87">
        <v>573</v>
      </c>
      <c r="AF29" s="86">
        <v>250</v>
      </c>
      <c r="AG29" s="80">
        <v>823</v>
      </c>
      <c r="AH29" s="80">
        <v>0</v>
      </c>
    </row>
    <row r="30" spans="1:34" outlineLevel="1" x14ac:dyDescent="0.2">
      <c r="A30" s="141" t="s">
        <v>96</v>
      </c>
      <c r="B30" s="82" t="s">
        <v>97</v>
      </c>
      <c r="C30" s="83">
        <v>448</v>
      </c>
      <c r="D30" s="84">
        <v>492</v>
      </c>
      <c r="E30" s="85">
        <v>321</v>
      </c>
      <c r="F30" s="86">
        <v>171</v>
      </c>
      <c r="G30" s="87">
        <v>58</v>
      </c>
      <c r="H30" s="88">
        <v>117</v>
      </c>
      <c r="I30" s="88">
        <v>160</v>
      </c>
      <c r="J30" s="88">
        <v>107</v>
      </c>
      <c r="K30" s="89">
        <v>50</v>
      </c>
      <c r="L30" s="90">
        <v>-44</v>
      </c>
      <c r="M30" s="35">
        <v>492</v>
      </c>
      <c r="N30" s="67">
        <v>0</v>
      </c>
      <c r="O30" s="35">
        <v>492</v>
      </c>
      <c r="P30" s="67">
        <v>0</v>
      </c>
      <c r="Q30" s="85">
        <v>54</v>
      </c>
      <c r="R30" s="89">
        <v>97</v>
      </c>
      <c r="S30" s="87">
        <v>117</v>
      </c>
      <c r="T30" s="86">
        <v>224</v>
      </c>
      <c r="U30" s="37">
        <v>492</v>
      </c>
      <c r="V30" s="37">
        <v>0</v>
      </c>
      <c r="AE30" s="87">
        <v>370</v>
      </c>
      <c r="AF30" s="86">
        <v>122</v>
      </c>
      <c r="AG30" s="80">
        <v>492</v>
      </c>
      <c r="AH30" s="80">
        <v>0</v>
      </c>
    </row>
    <row r="31" spans="1:34" outlineLevel="1" x14ac:dyDescent="0.2">
      <c r="A31" s="141" t="s">
        <v>98</v>
      </c>
      <c r="B31" s="82" t="s">
        <v>99</v>
      </c>
      <c r="C31" s="83">
        <v>74</v>
      </c>
      <c r="D31" s="84">
        <v>78</v>
      </c>
      <c r="E31" s="85">
        <v>63</v>
      </c>
      <c r="F31" s="86">
        <v>15</v>
      </c>
      <c r="G31" s="87">
        <v>14</v>
      </c>
      <c r="H31" s="88">
        <v>22</v>
      </c>
      <c r="I31" s="88">
        <v>27</v>
      </c>
      <c r="J31" s="88">
        <v>12</v>
      </c>
      <c r="K31" s="89">
        <v>3</v>
      </c>
      <c r="L31" s="90">
        <v>-4</v>
      </c>
      <c r="M31" s="35">
        <v>78</v>
      </c>
      <c r="N31" s="67">
        <v>0</v>
      </c>
      <c r="O31" s="35">
        <v>78</v>
      </c>
      <c r="P31" s="67">
        <v>0</v>
      </c>
      <c r="Q31" s="85">
        <v>5</v>
      </c>
      <c r="R31" s="89">
        <v>28</v>
      </c>
      <c r="S31" s="87">
        <v>10</v>
      </c>
      <c r="T31" s="86">
        <v>35</v>
      </c>
      <c r="U31" s="37">
        <v>78</v>
      </c>
      <c r="V31" s="37">
        <v>0</v>
      </c>
      <c r="AE31" s="87">
        <v>50</v>
      </c>
      <c r="AF31" s="86">
        <v>28</v>
      </c>
      <c r="AG31" s="80">
        <v>78</v>
      </c>
      <c r="AH31" s="80">
        <v>0</v>
      </c>
    </row>
    <row r="32" spans="1:34" outlineLevel="1" x14ac:dyDescent="0.2">
      <c r="A32" s="141" t="s">
        <v>100</v>
      </c>
      <c r="B32" s="82" t="s">
        <v>101</v>
      </c>
      <c r="C32" s="83">
        <v>742</v>
      </c>
      <c r="D32" s="84">
        <v>743</v>
      </c>
      <c r="E32" s="85">
        <v>531</v>
      </c>
      <c r="F32" s="86">
        <v>212</v>
      </c>
      <c r="G32" s="87">
        <v>171</v>
      </c>
      <c r="H32" s="88">
        <v>221</v>
      </c>
      <c r="I32" s="88">
        <v>212</v>
      </c>
      <c r="J32" s="88">
        <v>115</v>
      </c>
      <c r="K32" s="89">
        <v>24</v>
      </c>
      <c r="L32" s="90">
        <v>-1</v>
      </c>
      <c r="M32" s="35">
        <v>743</v>
      </c>
      <c r="N32" s="67">
        <v>0</v>
      </c>
      <c r="O32" s="35">
        <v>743</v>
      </c>
      <c r="P32" s="67">
        <v>0</v>
      </c>
      <c r="Q32" s="85">
        <v>106</v>
      </c>
      <c r="R32" s="89">
        <v>261</v>
      </c>
      <c r="S32" s="87">
        <v>106</v>
      </c>
      <c r="T32" s="86">
        <v>270</v>
      </c>
      <c r="U32" s="37">
        <v>743</v>
      </c>
      <c r="V32" s="37">
        <v>0</v>
      </c>
      <c r="AE32" s="87">
        <v>467</v>
      </c>
      <c r="AF32" s="86">
        <v>276</v>
      </c>
      <c r="AG32" s="80">
        <v>743</v>
      </c>
      <c r="AH32" s="80">
        <v>0</v>
      </c>
    </row>
    <row r="33" spans="1:36" s="154" customFormat="1" outlineLevel="1" x14ac:dyDescent="0.2">
      <c r="A33" s="142" t="s">
        <v>102</v>
      </c>
      <c r="B33" s="143" t="s">
        <v>103</v>
      </c>
      <c r="C33" s="144">
        <v>522</v>
      </c>
      <c r="D33" s="145">
        <v>522</v>
      </c>
      <c r="E33" s="146">
        <v>259</v>
      </c>
      <c r="F33" s="147">
        <v>263</v>
      </c>
      <c r="G33" s="148">
        <v>31</v>
      </c>
      <c r="H33" s="149">
        <v>72</v>
      </c>
      <c r="I33" s="149">
        <v>119</v>
      </c>
      <c r="J33" s="149">
        <v>128</v>
      </c>
      <c r="K33" s="150">
        <v>172</v>
      </c>
      <c r="L33" s="151">
        <v>0</v>
      </c>
      <c r="M33" s="152">
        <v>522</v>
      </c>
      <c r="N33" s="153">
        <v>0</v>
      </c>
      <c r="O33" s="152">
        <v>522</v>
      </c>
      <c r="P33" s="153">
        <v>0</v>
      </c>
      <c r="Q33" s="146">
        <v>43</v>
      </c>
      <c r="R33" s="150">
        <v>52</v>
      </c>
      <c r="S33" s="148">
        <v>220</v>
      </c>
      <c r="T33" s="147">
        <v>207</v>
      </c>
      <c r="U33" s="154">
        <v>522</v>
      </c>
      <c r="V33" s="37">
        <v>0</v>
      </c>
      <c r="AE33" s="148">
        <v>365</v>
      </c>
      <c r="AF33" s="147">
        <v>157</v>
      </c>
      <c r="AG33" s="80">
        <v>522</v>
      </c>
      <c r="AH33" s="80">
        <v>0</v>
      </c>
      <c r="AI33" s="155">
        <v>41</v>
      </c>
      <c r="AJ33" s="154">
        <v>365.4</v>
      </c>
    </row>
    <row r="34" spans="1:36" ht="15" x14ac:dyDescent="0.25">
      <c r="A34" s="123" t="s">
        <v>104</v>
      </c>
      <c r="B34" s="124" t="s">
        <v>87</v>
      </c>
      <c r="C34" s="125">
        <v>3078</v>
      </c>
      <c r="D34" s="125">
        <v>3230</v>
      </c>
      <c r="E34" s="125">
        <v>2025</v>
      </c>
      <c r="F34" s="125">
        <v>1205</v>
      </c>
      <c r="G34" s="125">
        <v>417</v>
      </c>
      <c r="H34" s="125">
        <v>834</v>
      </c>
      <c r="I34" s="125">
        <v>955</v>
      </c>
      <c r="J34" s="125">
        <v>662</v>
      </c>
      <c r="K34" s="126">
        <v>362</v>
      </c>
      <c r="L34" s="127">
        <v>-152</v>
      </c>
      <c r="M34" s="35">
        <v>3230</v>
      </c>
      <c r="N34" s="67">
        <v>0</v>
      </c>
      <c r="O34" s="35">
        <v>3230</v>
      </c>
      <c r="P34" s="67">
        <v>0</v>
      </c>
      <c r="Q34" s="125">
        <v>379</v>
      </c>
      <c r="R34" s="126">
        <v>763</v>
      </c>
      <c r="S34" s="128">
        <v>826</v>
      </c>
      <c r="T34" s="125">
        <v>1262</v>
      </c>
      <c r="U34" s="37">
        <v>3230</v>
      </c>
      <c r="V34" s="37">
        <v>0</v>
      </c>
      <c r="AE34" s="128">
        <v>2198</v>
      </c>
      <c r="AF34" s="129">
        <v>1032</v>
      </c>
      <c r="AG34" s="80">
        <v>3230</v>
      </c>
      <c r="AH34" s="80">
        <v>0</v>
      </c>
    </row>
    <row r="35" spans="1:36" ht="15" outlineLevel="1" x14ac:dyDescent="0.25">
      <c r="A35" s="62" t="s">
        <v>105</v>
      </c>
      <c r="B35" s="63" t="s">
        <v>106</v>
      </c>
      <c r="C35" s="64"/>
      <c r="D35" s="65"/>
      <c r="E35" s="65"/>
      <c r="F35" s="65"/>
      <c r="G35" s="65"/>
      <c r="H35" s="65"/>
      <c r="I35" s="65"/>
      <c r="J35" s="65"/>
      <c r="K35" s="65"/>
      <c r="L35" s="66"/>
      <c r="M35" s="35">
        <v>0</v>
      </c>
      <c r="N35" s="67">
        <v>0</v>
      </c>
      <c r="O35" s="35">
        <v>0</v>
      </c>
      <c r="P35" s="67">
        <v>0</v>
      </c>
      <c r="Q35" s="65"/>
      <c r="R35" s="65"/>
      <c r="S35" s="68"/>
      <c r="T35" s="69"/>
      <c r="V35" s="37">
        <v>0</v>
      </c>
      <c r="AE35" s="68"/>
      <c r="AF35" s="69"/>
      <c r="AG35" s="80">
        <v>0</v>
      </c>
      <c r="AH35" s="80">
        <v>0</v>
      </c>
    </row>
    <row r="36" spans="1:36" s="154" customFormat="1" ht="12" customHeight="1" outlineLevel="1" x14ac:dyDescent="0.2">
      <c r="A36" s="156" t="s">
        <v>107</v>
      </c>
      <c r="B36" s="157"/>
      <c r="C36" s="158">
        <v>0</v>
      </c>
      <c r="D36" s="159">
        <v>413</v>
      </c>
      <c r="E36" s="160">
        <v>303</v>
      </c>
      <c r="F36" s="161">
        <v>110</v>
      </c>
      <c r="G36" s="162">
        <v>68</v>
      </c>
      <c r="H36" s="163">
        <v>111</v>
      </c>
      <c r="I36" s="163">
        <v>134</v>
      </c>
      <c r="J36" s="163">
        <v>79</v>
      </c>
      <c r="K36" s="164">
        <v>23</v>
      </c>
      <c r="L36" s="165">
        <v>-413</v>
      </c>
      <c r="M36" s="152">
        <v>413</v>
      </c>
      <c r="N36" s="153">
        <v>0</v>
      </c>
      <c r="O36" s="152">
        <v>415</v>
      </c>
      <c r="P36" s="153">
        <v>-2</v>
      </c>
      <c r="Q36" s="160">
        <v>47.675544794188859</v>
      </c>
      <c r="R36" s="164">
        <v>131.32445520581112</v>
      </c>
      <c r="S36" s="162">
        <v>62.857142857142854</v>
      </c>
      <c r="T36" s="161">
        <v>173.14285714285714</v>
      </c>
      <c r="U36" s="154">
        <v>413</v>
      </c>
      <c r="V36" s="152">
        <v>0</v>
      </c>
      <c r="W36" s="166">
        <v>0.73365617433414043</v>
      </c>
      <c r="X36" s="166">
        <v>0.26634382566585957</v>
      </c>
      <c r="Y36" s="166">
        <v>0.16464891041162227</v>
      </c>
      <c r="Z36" s="166">
        <v>0.26876513317191281</v>
      </c>
      <c r="AA36" s="166">
        <v>0.32445520581113801</v>
      </c>
      <c r="AB36" s="166">
        <v>0.19128329297820823</v>
      </c>
      <c r="AC36" s="166">
        <v>5.569007263922518E-2</v>
      </c>
      <c r="AE36" s="162">
        <v>293</v>
      </c>
      <c r="AF36" s="161">
        <v>120</v>
      </c>
      <c r="AG36" s="167">
        <v>413</v>
      </c>
      <c r="AH36" s="167">
        <v>0</v>
      </c>
    </row>
    <row r="37" spans="1:36" ht="12" customHeight="1" outlineLevel="1" x14ac:dyDescent="0.2">
      <c r="A37" s="131" t="s">
        <v>108</v>
      </c>
      <c r="B37" s="132" t="s">
        <v>109</v>
      </c>
      <c r="C37" s="133">
        <v>0</v>
      </c>
      <c r="D37" s="134">
        <v>0</v>
      </c>
      <c r="E37" s="135">
        <v>0</v>
      </c>
      <c r="F37" s="136">
        <v>0</v>
      </c>
      <c r="G37" s="137">
        <v>0</v>
      </c>
      <c r="H37" s="138">
        <v>0</v>
      </c>
      <c r="I37" s="138">
        <v>0</v>
      </c>
      <c r="J37" s="138">
        <v>0</v>
      </c>
      <c r="K37" s="139">
        <v>0</v>
      </c>
      <c r="L37" s="140">
        <v>0</v>
      </c>
      <c r="M37" s="35">
        <v>0</v>
      </c>
      <c r="N37" s="67">
        <v>0</v>
      </c>
      <c r="O37" s="35">
        <v>0</v>
      </c>
      <c r="P37" s="67">
        <v>0</v>
      </c>
      <c r="Q37" s="135">
        <v>0</v>
      </c>
      <c r="R37" s="139">
        <v>0</v>
      </c>
      <c r="S37" s="137">
        <v>0</v>
      </c>
      <c r="T37" s="136">
        <v>0</v>
      </c>
      <c r="U37" s="37">
        <v>0</v>
      </c>
      <c r="V37" s="37">
        <v>0</v>
      </c>
      <c r="AE37" s="137">
        <v>0</v>
      </c>
      <c r="AF37" s="136">
        <v>0</v>
      </c>
      <c r="AG37" s="80">
        <v>0</v>
      </c>
      <c r="AH37" s="80">
        <v>0</v>
      </c>
    </row>
    <row r="38" spans="1:36" ht="12" customHeight="1" outlineLevel="1" x14ac:dyDescent="0.2">
      <c r="A38" s="168" t="s">
        <v>110</v>
      </c>
      <c r="B38" s="104" t="s">
        <v>111</v>
      </c>
      <c r="C38" s="105">
        <v>380</v>
      </c>
      <c r="D38" s="106">
        <v>422</v>
      </c>
      <c r="E38" s="107">
        <v>308</v>
      </c>
      <c r="F38" s="108">
        <v>114</v>
      </c>
      <c r="G38" s="109">
        <v>111</v>
      </c>
      <c r="H38" s="110">
        <v>168</v>
      </c>
      <c r="I38" s="110">
        <v>94</v>
      </c>
      <c r="J38" s="110">
        <v>44</v>
      </c>
      <c r="K38" s="111">
        <v>5</v>
      </c>
      <c r="L38" s="112">
        <v>-42</v>
      </c>
      <c r="M38" s="35">
        <v>422</v>
      </c>
      <c r="N38" s="67">
        <v>0</v>
      </c>
      <c r="O38" s="35">
        <v>422</v>
      </c>
      <c r="P38" s="67">
        <v>0</v>
      </c>
      <c r="Q38" s="107">
        <v>47</v>
      </c>
      <c r="R38" s="111">
        <v>211</v>
      </c>
      <c r="S38" s="109">
        <v>67</v>
      </c>
      <c r="T38" s="108">
        <v>97</v>
      </c>
      <c r="U38" s="37">
        <v>422</v>
      </c>
      <c r="V38" s="37">
        <v>0</v>
      </c>
      <c r="X38" s="37" t="s">
        <v>112</v>
      </c>
      <c r="Y38" s="80">
        <v>49.888619854721547</v>
      </c>
      <c r="Z38" s="80">
        <v>81.43583535108958</v>
      </c>
      <c r="AA38" s="80">
        <v>98.309927360774822</v>
      </c>
      <c r="AB38" s="80">
        <v>57.958837772397096</v>
      </c>
      <c r="AC38" s="80">
        <v>16.874092009685228</v>
      </c>
      <c r="AD38" s="37">
        <v>304.46731234866826</v>
      </c>
      <c r="AE38" s="109">
        <v>267</v>
      </c>
      <c r="AF38" s="108">
        <v>155</v>
      </c>
      <c r="AG38" s="80">
        <v>422</v>
      </c>
      <c r="AH38" s="80">
        <v>0</v>
      </c>
    </row>
    <row r="39" spans="1:36" ht="12" customHeight="1" outlineLevel="1" x14ac:dyDescent="0.2">
      <c r="A39" s="168" t="s">
        <v>113</v>
      </c>
      <c r="B39" s="104" t="s">
        <v>114</v>
      </c>
      <c r="C39" s="105">
        <v>125</v>
      </c>
      <c r="D39" s="106">
        <v>203</v>
      </c>
      <c r="E39" s="107">
        <v>165</v>
      </c>
      <c r="F39" s="108">
        <v>38</v>
      </c>
      <c r="G39" s="109">
        <v>50</v>
      </c>
      <c r="H39" s="110">
        <v>62</v>
      </c>
      <c r="I39" s="110">
        <v>64</v>
      </c>
      <c r="J39" s="110">
        <v>22</v>
      </c>
      <c r="K39" s="111">
        <v>5</v>
      </c>
      <c r="L39" s="112">
        <v>-78</v>
      </c>
      <c r="M39" s="35">
        <v>203</v>
      </c>
      <c r="N39" s="67">
        <v>0</v>
      </c>
      <c r="O39" s="35">
        <v>203</v>
      </c>
      <c r="P39" s="67">
        <v>0</v>
      </c>
      <c r="Q39" s="107">
        <v>12</v>
      </c>
      <c r="R39" s="111">
        <v>93</v>
      </c>
      <c r="S39" s="109">
        <v>26</v>
      </c>
      <c r="T39" s="108">
        <v>72</v>
      </c>
      <c r="U39" s="37">
        <v>203</v>
      </c>
      <c r="V39" s="37">
        <v>0</v>
      </c>
      <c r="X39" s="37" t="s">
        <v>115</v>
      </c>
      <c r="Y39" s="80">
        <v>18.111380145278449</v>
      </c>
      <c r="Z39" s="80">
        <v>29.56416464891041</v>
      </c>
      <c r="AA39" s="80">
        <v>35.690072639225178</v>
      </c>
      <c r="AB39" s="80">
        <v>21.041162227602904</v>
      </c>
      <c r="AC39" s="80">
        <v>6.1259079903147695</v>
      </c>
      <c r="AD39" s="37">
        <v>110.53268765133171</v>
      </c>
      <c r="AE39" s="109">
        <v>129</v>
      </c>
      <c r="AF39" s="108">
        <v>74</v>
      </c>
      <c r="AG39" s="80">
        <v>203</v>
      </c>
      <c r="AH39" s="80">
        <v>0</v>
      </c>
    </row>
    <row r="40" spans="1:36" ht="12" customHeight="1" outlineLevel="1" x14ac:dyDescent="0.2">
      <c r="A40" s="168" t="s">
        <v>116</v>
      </c>
      <c r="B40" s="104" t="s">
        <v>15</v>
      </c>
      <c r="C40" s="105">
        <v>593</v>
      </c>
      <c r="D40" s="106">
        <v>619</v>
      </c>
      <c r="E40" s="107">
        <v>408</v>
      </c>
      <c r="F40" s="108">
        <v>211</v>
      </c>
      <c r="G40" s="109">
        <v>104</v>
      </c>
      <c r="H40" s="110">
        <v>158</v>
      </c>
      <c r="I40" s="110">
        <v>191</v>
      </c>
      <c r="J40" s="110">
        <v>140</v>
      </c>
      <c r="K40" s="111">
        <v>26</v>
      </c>
      <c r="L40" s="112">
        <v>-26</v>
      </c>
      <c r="M40" s="35">
        <v>619</v>
      </c>
      <c r="N40" s="67">
        <v>0</v>
      </c>
      <c r="O40" s="35">
        <v>619</v>
      </c>
      <c r="P40" s="67">
        <v>0</v>
      </c>
      <c r="Q40" s="107">
        <v>75</v>
      </c>
      <c r="R40" s="111">
        <v>162</v>
      </c>
      <c r="S40" s="109">
        <v>136</v>
      </c>
      <c r="T40" s="108">
        <v>246</v>
      </c>
      <c r="U40" s="37">
        <v>619</v>
      </c>
      <c r="V40" s="37">
        <v>0</v>
      </c>
      <c r="AE40" s="109">
        <v>457</v>
      </c>
      <c r="AF40" s="108">
        <v>162</v>
      </c>
      <c r="AG40" s="80">
        <v>619</v>
      </c>
      <c r="AH40" s="80">
        <v>0</v>
      </c>
    </row>
    <row r="41" spans="1:36" s="179" customFormat="1" ht="12" customHeight="1" outlineLevel="1" x14ac:dyDescent="0.2">
      <c r="A41" s="169" t="s">
        <v>117</v>
      </c>
      <c r="B41" s="170" t="s">
        <v>118</v>
      </c>
      <c r="C41" s="171">
        <v>10</v>
      </c>
      <c r="D41" s="172">
        <v>10</v>
      </c>
      <c r="E41" s="173">
        <v>6</v>
      </c>
      <c r="F41" s="174">
        <v>4</v>
      </c>
      <c r="G41" s="175">
        <v>1</v>
      </c>
      <c r="H41" s="176">
        <v>2</v>
      </c>
      <c r="I41" s="176">
        <v>2</v>
      </c>
      <c r="J41" s="176">
        <v>5</v>
      </c>
      <c r="K41" s="177">
        <v>0</v>
      </c>
      <c r="L41" s="112">
        <v>0</v>
      </c>
      <c r="M41" s="42">
        <v>10</v>
      </c>
      <c r="N41" s="178">
        <v>0</v>
      </c>
      <c r="O41" s="42">
        <v>10</v>
      </c>
      <c r="P41" s="178">
        <v>0</v>
      </c>
      <c r="Q41" s="173">
        <v>1</v>
      </c>
      <c r="R41" s="177">
        <v>1</v>
      </c>
      <c r="S41" s="175">
        <v>3</v>
      </c>
      <c r="T41" s="174">
        <v>5</v>
      </c>
      <c r="U41" s="37">
        <v>10</v>
      </c>
      <c r="V41" s="37">
        <v>0</v>
      </c>
      <c r="AE41" s="175">
        <v>5</v>
      </c>
      <c r="AF41" s="174">
        <v>5</v>
      </c>
      <c r="AG41" s="80">
        <v>10</v>
      </c>
      <c r="AH41" s="80">
        <v>0</v>
      </c>
    </row>
    <row r="42" spans="1:36" ht="12" customHeight="1" outlineLevel="1" x14ac:dyDescent="0.2">
      <c r="A42" s="168" t="s">
        <v>119</v>
      </c>
      <c r="B42" s="104" t="s">
        <v>120</v>
      </c>
      <c r="C42" s="105">
        <v>62</v>
      </c>
      <c r="D42" s="106">
        <v>70</v>
      </c>
      <c r="E42" s="107">
        <v>57</v>
      </c>
      <c r="F42" s="108">
        <v>13</v>
      </c>
      <c r="G42" s="109">
        <v>8</v>
      </c>
      <c r="H42" s="110">
        <v>27</v>
      </c>
      <c r="I42" s="110">
        <v>20</v>
      </c>
      <c r="J42" s="110">
        <v>14</v>
      </c>
      <c r="K42" s="111">
        <v>1</v>
      </c>
      <c r="L42" s="112">
        <v>-8</v>
      </c>
      <c r="M42" s="35">
        <v>70</v>
      </c>
      <c r="N42" s="67">
        <v>0</v>
      </c>
      <c r="O42" s="35">
        <v>70</v>
      </c>
      <c r="P42" s="67">
        <v>0</v>
      </c>
      <c r="Q42" s="107">
        <v>5</v>
      </c>
      <c r="R42" s="111">
        <v>27</v>
      </c>
      <c r="S42" s="109">
        <v>8</v>
      </c>
      <c r="T42" s="108">
        <v>30</v>
      </c>
      <c r="U42" s="37">
        <v>70</v>
      </c>
      <c r="V42" s="37">
        <v>0</v>
      </c>
      <c r="AE42" s="109">
        <v>55</v>
      </c>
      <c r="AF42" s="108">
        <v>15</v>
      </c>
      <c r="AG42" s="80">
        <v>70</v>
      </c>
      <c r="AH42" s="80">
        <v>0</v>
      </c>
    </row>
    <row r="43" spans="1:36" ht="12" customHeight="1" outlineLevel="1" x14ac:dyDescent="0.2">
      <c r="A43" s="168" t="s">
        <v>121</v>
      </c>
      <c r="B43" s="104" t="s">
        <v>122</v>
      </c>
      <c r="C43" s="105">
        <v>19</v>
      </c>
      <c r="D43" s="106">
        <v>22</v>
      </c>
      <c r="E43" s="107">
        <v>18</v>
      </c>
      <c r="F43" s="108">
        <v>4</v>
      </c>
      <c r="G43" s="109">
        <v>1</v>
      </c>
      <c r="H43" s="110">
        <v>6</v>
      </c>
      <c r="I43" s="110">
        <v>7</v>
      </c>
      <c r="J43" s="110">
        <v>7</v>
      </c>
      <c r="K43" s="111">
        <v>1</v>
      </c>
      <c r="L43" s="112">
        <v>-3</v>
      </c>
      <c r="M43" s="35">
        <v>22</v>
      </c>
      <c r="N43" s="67">
        <v>0</v>
      </c>
      <c r="O43" s="35">
        <v>22</v>
      </c>
      <c r="P43" s="67">
        <v>0</v>
      </c>
      <c r="Q43" s="107">
        <v>4</v>
      </c>
      <c r="R43" s="111">
        <v>2</v>
      </c>
      <c r="S43" s="109">
        <v>0</v>
      </c>
      <c r="T43" s="108">
        <v>16</v>
      </c>
      <c r="U43" s="37">
        <v>22</v>
      </c>
      <c r="V43" s="37">
        <v>0</v>
      </c>
      <c r="AE43" s="109">
        <v>13</v>
      </c>
      <c r="AF43" s="108">
        <v>9</v>
      </c>
      <c r="AG43" s="80">
        <v>22</v>
      </c>
      <c r="AH43" s="80">
        <v>0</v>
      </c>
    </row>
    <row r="44" spans="1:36" ht="12" customHeight="1" outlineLevel="1" x14ac:dyDescent="0.2">
      <c r="A44" s="103" t="s">
        <v>123</v>
      </c>
      <c r="B44" s="180" t="s">
        <v>124</v>
      </c>
      <c r="C44" s="181">
        <v>240</v>
      </c>
      <c r="D44" s="182">
        <v>247</v>
      </c>
      <c r="E44" s="183">
        <v>186</v>
      </c>
      <c r="F44" s="184">
        <v>61</v>
      </c>
      <c r="G44" s="185">
        <v>47</v>
      </c>
      <c r="H44" s="186">
        <v>87</v>
      </c>
      <c r="I44" s="186">
        <v>82</v>
      </c>
      <c r="J44" s="186">
        <v>23</v>
      </c>
      <c r="K44" s="187">
        <v>8</v>
      </c>
      <c r="L44" s="112">
        <v>-7</v>
      </c>
      <c r="M44" s="35">
        <v>247</v>
      </c>
      <c r="N44" s="67">
        <v>0</v>
      </c>
      <c r="O44" s="35">
        <v>247</v>
      </c>
      <c r="P44" s="67">
        <v>0</v>
      </c>
      <c r="Q44" s="183">
        <v>22</v>
      </c>
      <c r="R44" s="187">
        <v>102</v>
      </c>
      <c r="S44" s="185">
        <v>39</v>
      </c>
      <c r="T44" s="184">
        <v>84</v>
      </c>
      <c r="U44" s="37">
        <v>247</v>
      </c>
      <c r="V44" s="37">
        <v>0</v>
      </c>
      <c r="AE44" s="185">
        <v>177</v>
      </c>
      <c r="AF44" s="184">
        <v>70</v>
      </c>
      <c r="AG44" s="80">
        <v>247</v>
      </c>
      <c r="AH44" s="80">
        <v>0</v>
      </c>
    </row>
    <row r="45" spans="1:36" s="152" customFormat="1" ht="12" customHeight="1" outlineLevel="1" x14ac:dyDescent="0.2">
      <c r="A45" s="168" t="s">
        <v>125</v>
      </c>
      <c r="B45" s="188" t="s">
        <v>126</v>
      </c>
      <c r="C45" s="189">
        <v>166</v>
      </c>
      <c r="D45" s="190">
        <v>10</v>
      </c>
      <c r="E45" s="191">
        <v>9</v>
      </c>
      <c r="F45" s="192">
        <v>1</v>
      </c>
      <c r="G45" s="193">
        <v>1</v>
      </c>
      <c r="H45" s="194">
        <v>5</v>
      </c>
      <c r="I45" s="194">
        <v>1</v>
      </c>
      <c r="J45" s="194">
        <v>2</v>
      </c>
      <c r="K45" s="195">
        <v>1</v>
      </c>
      <c r="L45" s="112">
        <v>156</v>
      </c>
      <c r="M45" s="152">
        <v>10</v>
      </c>
      <c r="N45" s="153">
        <v>0</v>
      </c>
      <c r="O45" s="152">
        <v>10</v>
      </c>
      <c r="P45" s="153">
        <v>0</v>
      </c>
      <c r="Q45" s="191">
        <v>1</v>
      </c>
      <c r="R45" s="195">
        <v>5</v>
      </c>
      <c r="S45" s="193">
        <v>0</v>
      </c>
      <c r="T45" s="192">
        <v>4</v>
      </c>
      <c r="U45" s="37">
        <v>10</v>
      </c>
      <c r="V45" s="37">
        <v>0</v>
      </c>
      <c r="AE45" s="193">
        <v>7</v>
      </c>
      <c r="AF45" s="192">
        <v>3</v>
      </c>
      <c r="AG45" s="80">
        <v>10</v>
      </c>
      <c r="AH45" s="80">
        <v>0</v>
      </c>
    </row>
    <row r="46" spans="1:36" ht="12" customHeight="1" outlineLevel="1" x14ac:dyDescent="0.2">
      <c r="A46" s="103" t="s">
        <v>211</v>
      </c>
      <c r="B46" s="104" t="s">
        <v>127</v>
      </c>
      <c r="C46" s="105">
        <v>96</v>
      </c>
      <c r="D46" s="106">
        <v>101</v>
      </c>
      <c r="E46" s="107">
        <v>74</v>
      </c>
      <c r="F46" s="108">
        <v>27</v>
      </c>
      <c r="G46" s="109">
        <v>2</v>
      </c>
      <c r="H46" s="110">
        <v>21</v>
      </c>
      <c r="I46" s="110">
        <v>37</v>
      </c>
      <c r="J46" s="110">
        <v>26</v>
      </c>
      <c r="K46" s="111">
        <v>15</v>
      </c>
      <c r="L46" s="112">
        <v>-5</v>
      </c>
      <c r="M46" s="35">
        <v>101</v>
      </c>
      <c r="N46" s="67">
        <v>0</v>
      </c>
      <c r="O46" s="35">
        <v>101</v>
      </c>
      <c r="P46" s="67">
        <v>0</v>
      </c>
      <c r="Q46" s="107">
        <v>4</v>
      </c>
      <c r="R46" s="111">
        <v>16</v>
      </c>
      <c r="S46" s="109">
        <v>23</v>
      </c>
      <c r="T46" s="108">
        <v>58</v>
      </c>
      <c r="U46" s="37">
        <v>101</v>
      </c>
      <c r="V46" s="37">
        <v>0</v>
      </c>
      <c r="AE46" s="109">
        <v>54</v>
      </c>
      <c r="AF46" s="108">
        <v>47</v>
      </c>
      <c r="AG46" s="80">
        <v>101</v>
      </c>
      <c r="AH46" s="80">
        <v>0</v>
      </c>
    </row>
    <row r="47" spans="1:36" ht="12" customHeight="1" outlineLevel="1" x14ac:dyDescent="0.2">
      <c r="A47" s="168" t="s">
        <v>128</v>
      </c>
      <c r="B47" s="104" t="s">
        <v>129</v>
      </c>
      <c r="C47" s="105">
        <v>131</v>
      </c>
      <c r="D47" s="106">
        <v>153</v>
      </c>
      <c r="E47" s="107">
        <v>108</v>
      </c>
      <c r="F47" s="108">
        <v>45</v>
      </c>
      <c r="G47" s="109">
        <v>17</v>
      </c>
      <c r="H47" s="110">
        <v>52</v>
      </c>
      <c r="I47" s="110">
        <v>52</v>
      </c>
      <c r="J47" s="110">
        <v>25</v>
      </c>
      <c r="K47" s="111">
        <v>7</v>
      </c>
      <c r="L47" s="112">
        <v>-22</v>
      </c>
      <c r="M47" s="35">
        <v>153</v>
      </c>
      <c r="N47" s="67">
        <v>0</v>
      </c>
      <c r="O47" s="35">
        <v>153</v>
      </c>
      <c r="P47" s="67">
        <v>0</v>
      </c>
      <c r="Q47" s="107">
        <v>17</v>
      </c>
      <c r="R47" s="111">
        <v>47</v>
      </c>
      <c r="S47" s="109">
        <v>28</v>
      </c>
      <c r="T47" s="108">
        <v>61</v>
      </c>
      <c r="U47" s="37">
        <v>153</v>
      </c>
      <c r="V47" s="37">
        <v>0</v>
      </c>
      <c r="AE47" s="109">
        <v>89</v>
      </c>
      <c r="AF47" s="108">
        <v>64</v>
      </c>
      <c r="AG47" s="80">
        <v>153</v>
      </c>
      <c r="AH47" s="80">
        <v>0</v>
      </c>
    </row>
    <row r="48" spans="1:36" ht="12" customHeight="1" outlineLevel="1" x14ac:dyDescent="0.2">
      <c r="A48" s="168" t="s">
        <v>130</v>
      </c>
      <c r="B48" s="104" t="s">
        <v>131</v>
      </c>
      <c r="C48" s="105">
        <v>102</v>
      </c>
      <c r="D48" s="106">
        <v>110</v>
      </c>
      <c r="E48" s="107">
        <v>82</v>
      </c>
      <c r="F48" s="108">
        <v>28</v>
      </c>
      <c r="G48" s="109">
        <v>16</v>
      </c>
      <c r="H48" s="110">
        <v>42</v>
      </c>
      <c r="I48" s="110">
        <v>39</v>
      </c>
      <c r="J48" s="110">
        <v>12</v>
      </c>
      <c r="K48" s="111">
        <v>1</v>
      </c>
      <c r="L48" s="112">
        <v>-8</v>
      </c>
      <c r="M48" s="35">
        <v>110</v>
      </c>
      <c r="N48" s="67">
        <v>0</v>
      </c>
      <c r="O48" s="35">
        <v>110</v>
      </c>
      <c r="P48" s="67">
        <v>0</v>
      </c>
      <c r="Q48" s="107">
        <v>12</v>
      </c>
      <c r="R48" s="111">
        <v>43</v>
      </c>
      <c r="S48" s="109">
        <v>16</v>
      </c>
      <c r="T48" s="108">
        <v>39</v>
      </c>
      <c r="U48" s="37">
        <v>110</v>
      </c>
      <c r="V48" s="37">
        <v>0</v>
      </c>
      <c r="AE48" s="109">
        <v>58</v>
      </c>
      <c r="AF48" s="108">
        <v>52</v>
      </c>
      <c r="AG48" s="80">
        <v>110</v>
      </c>
      <c r="AH48" s="80">
        <v>0</v>
      </c>
    </row>
    <row r="49" spans="1:34" ht="12" customHeight="1" outlineLevel="1" x14ac:dyDescent="0.2">
      <c r="A49" s="196" t="s">
        <v>132</v>
      </c>
      <c r="B49" s="197" t="s">
        <v>133</v>
      </c>
      <c r="C49" s="198">
        <v>475</v>
      </c>
      <c r="D49" s="199">
        <v>541</v>
      </c>
      <c r="E49" s="200">
        <v>322</v>
      </c>
      <c r="F49" s="201">
        <v>219</v>
      </c>
      <c r="G49" s="202">
        <v>79</v>
      </c>
      <c r="H49" s="203">
        <v>115</v>
      </c>
      <c r="I49" s="203">
        <v>155</v>
      </c>
      <c r="J49" s="203">
        <v>123</v>
      </c>
      <c r="K49" s="204">
        <v>69</v>
      </c>
      <c r="L49" s="205">
        <v>-66</v>
      </c>
      <c r="M49" s="35">
        <v>541</v>
      </c>
      <c r="N49" s="67">
        <v>0</v>
      </c>
      <c r="O49" s="35">
        <v>541</v>
      </c>
      <c r="P49" s="67">
        <v>0</v>
      </c>
      <c r="Q49" s="200">
        <v>67</v>
      </c>
      <c r="R49" s="204">
        <v>110</v>
      </c>
      <c r="S49" s="202">
        <v>152</v>
      </c>
      <c r="T49" s="201">
        <v>212</v>
      </c>
      <c r="U49" s="37">
        <v>541</v>
      </c>
      <c r="V49" s="37">
        <v>0</v>
      </c>
      <c r="AE49" s="202">
        <v>389</v>
      </c>
      <c r="AF49" s="201">
        <v>152</v>
      </c>
      <c r="AG49" s="80">
        <v>541</v>
      </c>
      <c r="AH49" s="80">
        <v>0</v>
      </c>
    </row>
    <row r="50" spans="1:34" ht="15" x14ac:dyDescent="0.25">
      <c r="A50" s="123" t="s">
        <v>134</v>
      </c>
      <c r="B50" s="124" t="s">
        <v>106</v>
      </c>
      <c r="C50" s="125">
        <v>2399</v>
      </c>
      <c r="D50" s="125">
        <v>2921</v>
      </c>
      <c r="E50" s="125">
        <v>2046</v>
      </c>
      <c r="F50" s="125">
        <v>875</v>
      </c>
      <c r="G50" s="125">
        <v>505</v>
      </c>
      <c r="H50" s="125">
        <v>856</v>
      </c>
      <c r="I50" s="125">
        <v>878</v>
      </c>
      <c r="J50" s="125">
        <v>522</v>
      </c>
      <c r="K50" s="126">
        <v>162</v>
      </c>
      <c r="L50" s="127">
        <v>-522</v>
      </c>
      <c r="M50" s="35">
        <v>2921</v>
      </c>
      <c r="N50" s="67">
        <v>0</v>
      </c>
      <c r="O50" s="35">
        <v>2923</v>
      </c>
      <c r="P50" s="67">
        <v>-2</v>
      </c>
      <c r="Q50" s="125">
        <v>314.67554479418885</v>
      </c>
      <c r="R50" s="126">
        <v>950.32445520581109</v>
      </c>
      <c r="S50" s="128">
        <v>560.85714285714289</v>
      </c>
      <c r="T50" s="125">
        <v>1097.1428571428571</v>
      </c>
      <c r="U50" s="37">
        <v>2923</v>
      </c>
      <c r="V50" s="37">
        <v>2</v>
      </c>
      <c r="AE50" s="128">
        <v>1993</v>
      </c>
      <c r="AF50" s="129">
        <v>928</v>
      </c>
      <c r="AG50" s="80">
        <v>2921</v>
      </c>
      <c r="AH50" s="80">
        <v>0</v>
      </c>
    </row>
    <row r="51" spans="1:34" ht="15" outlineLevel="1" x14ac:dyDescent="0.25">
      <c r="A51" s="62" t="s">
        <v>135</v>
      </c>
      <c r="B51" s="63" t="s">
        <v>136</v>
      </c>
      <c r="C51" s="64"/>
      <c r="D51" s="65"/>
      <c r="E51" s="65"/>
      <c r="F51" s="65"/>
      <c r="G51" s="65"/>
      <c r="H51" s="65"/>
      <c r="I51" s="65"/>
      <c r="J51" s="65"/>
      <c r="K51" s="65"/>
      <c r="L51" s="66"/>
      <c r="M51" s="35">
        <v>0</v>
      </c>
      <c r="N51" s="67">
        <v>0</v>
      </c>
      <c r="O51" s="35">
        <v>0</v>
      </c>
      <c r="P51" s="67">
        <v>0</v>
      </c>
      <c r="Q51" s="65"/>
      <c r="R51" s="65"/>
      <c r="S51" s="68"/>
      <c r="T51" s="69"/>
      <c r="V51" s="37">
        <v>0</v>
      </c>
      <c r="AE51" s="68"/>
      <c r="AF51" s="69"/>
      <c r="AG51" s="80">
        <v>0</v>
      </c>
      <c r="AH51" s="80">
        <v>0</v>
      </c>
    </row>
    <row r="52" spans="1:34" s="154" customFormat="1" outlineLevel="1" x14ac:dyDescent="0.2">
      <c r="A52" s="156" t="s">
        <v>137</v>
      </c>
      <c r="B52" s="157" t="s">
        <v>138</v>
      </c>
      <c r="C52" s="206">
        <v>175</v>
      </c>
      <c r="D52" s="159">
        <v>278</v>
      </c>
      <c r="E52" s="160">
        <v>181</v>
      </c>
      <c r="F52" s="161">
        <v>97</v>
      </c>
      <c r="G52" s="162">
        <v>17</v>
      </c>
      <c r="H52" s="163">
        <v>58</v>
      </c>
      <c r="I52" s="163">
        <v>94</v>
      </c>
      <c r="J52" s="163">
        <v>74</v>
      </c>
      <c r="K52" s="164">
        <v>35</v>
      </c>
      <c r="L52" s="207">
        <v>-103</v>
      </c>
      <c r="M52" s="152">
        <v>278</v>
      </c>
      <c r="N52" s="153">
        <v>0</v>
      </c>
      <c r="O52" s="152">
        <v>278</v>
      </c>
      <c r="P52" s="153">
        <v>0</v>
      </c>
      <c r="Q52" s="160">
        <v>18</v>
      </c>
      <c r="R52" s="164">
        <v>71</v>
      </c>
      <c r="S52" s="162">
        <v>79</v>
      </c>
      <c r="T52" s="161">
        <v>110</v>
      </c>
      <c r="U52" s="154">
        <v>278</v>
      </c>
      <c r="V52" s="37">
        <v>0</v>
      </c>
      <c r="W52" s="154">
        <v>120</v>
      </c>
      <c r="X52" s="154">
        <v>48</v>
      </c>
      <c r="Y52" s="154">
        <v>72</v>
      </c>
      <c r="Z52" s="154" t="s">
        <v>139</v>
      </c>
      <c r="AE52" s="162">
        <v>181</v>
      </c>
      <c r="AF52" s="161">
        <v>97</v>
      </c>
      <c r="AG52" s="80">
        <v>278</v>
      </c>
      <c r="AH52" s="80">
        <v>0</v>
      </c>
    </row>
    <row r="53" spans="1:34" s="154" customFormat="1" outlineLevel="1" x14ac:dyDescent="0.2">
      <c r="A53" s="208" t="s">
        <v>140</v>
      </c>
      <c r="B53" s="209" t="s">
        <v>141</v>
      </c>
      <c r="C53" s="210">
        <v>307</v>
      </c>
      <c r="D53" s="211">
        <v>254</v>
      </c>
      <c r="E53" s="212">
        <v>136</v>
      </c>
      <c r="F53" s="213">
        <v>118</v>
      </c>
      <c r="G53" s="214">
        <v>34</v>
      </c>
      <c r="H53" s="215">
        <v>81</v>
      </c>
      <c r="I53" s="215">
        <v>44</v>
      </c>
      <c r="J53" s="215">
        <v>39</v>
      </c>
      <c r="K53" s="216">
        <v>56</v>
      </c>
      <c r="L53" s="217">
        <v>53</v>
      </c>
      <c r="M53" s="152">
        <v>254</v>
      </c>
      <c r="N53" s="153">
        <v>0</v>
      </c>
      <c r="O53" s="152">
        <v>254</v>
      </c>
      <c r="P53" s="153">
        <v>0</v>
      </c>
      <c r="Q53" s="212">
        <v>40</v>
      </c>
      <c r="R53" s="216">
        <v>64</v>
      </c>
      <c r="S53" s="214">
        <v>78</v>
      </c>
      <c r="T53" s="213">
        <v>72</v>
      </c>
      <c r="U53" s="154">
        <v>254</v>
      </c>
      <c r="V53" s="37">
        <v>0</v>
      </c>
      <c r="AE53" s="214">
        <v>135</v>
      </c>
      <c r="AF53" s="213">
        <v>119</v>
      </c>
      <c r="AG53" s="80">
        <v>254</v>
      </c>
      <c r="AH53" s="80">
        <v>0</v>
      </c>
    </row>
    <row r="54" spans="1:34" outlineLevel="1" x14ac:dyDescent="0.2">
      <c r="A54" s="218" t="s">
        <v>142</v>
      </c>
      <c r="B54" s="114" t="s">
        <v>20</v>
      </c>
      <c r="C54" s="115">
        <v>3392</v>
      </c>
      <c r="D54" s="116">
        <v>3816</v>
      </c>
      <c r="E54" s="117">
        <v>2405</v>
      </c>
      <c r="F54" s="118">
        <v>1411</v>
      </c>
      <c r="G54" s="119">
        <v>488</v>
      </c>
      <c r="H54" s="120">
        <v>1256</v>
      </c>
      <c r="I54" s="120">
        <v>1234</v>
      </c>
      <c r="J54" s="120">
        <v>652</v>
      </c>
      <c r="K54" s="121">
        <v>186</v>
      </c>
      <c r="L54" s="122">
        <v>-424</v>
      </c>
      <c r="M54" s="35">
        <v>3816</v>
      </c>
      <c r="N54" s="67">
        <v>0</v>
      </c>
      <c r="O54" s="35">
        <v>3816</v>
      </c>
      <c r="P54" s="67">
        <v>0</v>
      </c>
      <c r="Q54" s="117">
        <v>519</v>
      </c>
      <c r="R54" s="121">
        <v>1070</v>
      </c>
      <c r="S54" s="119">
        <v>892</v>
      </c>
      <c r="T54" s="118">
        <v>1335</v>
      </c>
      <c r="U54" s="37">
        <v>3816</v>
      </c>
      <c r="V54" s="37">
        <v>0</v>
      </c>
      <c r="AE54" s="119">
        <v>2392</v>
      </c>
      <c r="AF54" s="118">
        <v>1424</v>
      </c>
      <c r="AG54" s="80">
        <v>3816</v>
      </c>
      <c r="AH54" s="80">
        <v>0</v>
      </c>
    </row>
    <row r="55" spans="1:34" ht="15" x14ac:dyDescent="0.25">
      <c r="A55" s="123" t="s">
        <v>143</v>
      </c>
      <c r="B55" s="124" t="s">
        <v>136</v>
      </c>
      <c r="C55" s="125">
        <v>3874</v>
      </c>
      <c r="D55" s="125">
        <v>4348</v>
      </c>
      <c r="E55" s="125">
        <v>2722</v>
      </c>
      <c r="F55" s="125">
        <v>1626</v>
      </c>
      <c r="G55" s="125">
        <v>539</v>
      </c>
      <c r="H55" s="125">
        <v>1395</v>
      </c>
      <c r="I55" s="125">
        <v>1372</v>
      </c>
      <c r="J55" s="125">
        <v>765</v>
      </c>
      <c r="K55" s="126">
        <v>277</v>
      </c>
      <c r="L55" s="127">
        <v>-474</v>
      </c>
      <c r="M55" s="35">
        <v>4348</v>
      </c>
      <c r="N55" s="67">
        <v>0</v>
      </c>
      <c r="O55" s="35">
        <v>4348</v>
      </c>
      <c r="P55" s="67">
        <v>0</v>
      </c>
      <c r="Q55" s="125">
        <v>577</v>
      </c>
      <c r="R55" s="126">
        <v>1205</v>
      </c>
      <c r="S55" s="128">
        <v>1049</v>
      </c>
      <c r="T55" s="125">
        <v>1517</v>
      </c>
      <c r="U55" s="37">
        <v>4348</v>
      </c>
      <c r="V55" s="37">
        <v>0</v>
      </c>
      <c r="AE55" s="128">
        <v>2708</v>
      </c>
      <c r="AF55" s="129">
        <v>1640</v>
      </c>
      <c r="AG55" s="80">
        <v>4348</v>
      </c>
      <c r="AH55" s="80">
        <v>0</v>
      </c>
    </row>
    <row r="56" spans="1:34" ht="15" outlineLevel="1" x14ac:dyDescent="0.25">
      <c r="A56" s="62" t="s">
        <v>144</v>
      </c>
      <c r="B56" s="63" t="s">
        <v>145</v>
      </c>
      <c r="C56" s="64"/>
      <c r="D56" s="65"/>
      <c r="E56" s="65"/>
      <c r="F56" s="65"/>
      <c r="G56" s="65"/>
      <c r="H56" s="65"/>
      <c r="I56" s="65"/>
      <c r="J56" s="65"/>
      <c r="K56" s="65"/>
      <c r="L56" s="66"/>
      <c r="M56" s="35">
        <v>0</v>
      </c>
      <c r="N56" s="67">
        <v>0</v>
      </c>
      <c r="O56" s="35">
        <v>0</v>
      </c>
      <c r="P56" s="67">
        <v>0</v>
      </c>
      <c r="Q56" s="65"/>
      <c r="R56" s="65"/>
      <c r="S56" s="68"/>
      <c r="T56" s="69"/>
      <c r="V56" s="37">
        <v>0</v>
      </c>
      <c r="AE56" s="68"/>
      <c r="AF56" s="69"/>
      <c r="AG56" s="80">
        <v>0</v>
      </c>
      <c r="AH56" s="80">
        <v>0</v>
      </c>
    </row>
    <row r="57" spans="1:34" outlineLevel="1" x14ac:dyDescent="0.2">
      <c r="A57" s="219" t="s">
        <v>146</v>
      </c>
      <c r="B57" s="220" t="s">
        <v>147</v>
      </c>
      <c r="C57" s="221">
        <v>1335</v>
      </c>
      <c r="D57" s="222">
        <v>861</v>
      </c>
      <c r="E57" s="223">
        <v>674</v>
      </c>
      <c r="F57" s="224">
        <v>187</v>
      </c>
      <c r="G57" s="225">
        <v>207</v>
      </c>
      <c r="H57" s="226">
        <v>268</v>
      </c>
      <c r="I57" s="226">
        <v>209</v>
      </c>
      <c r="J57" s="226">
        <v>149</v>
      </c>
      <c r="K57" s="227">
        <v>28</v>
      </c>
      <c r="L57" s="228">
        <v>-429</v>
      </c>
      <c r="M57" s="35">
        <v>861</v>
      </c>
      <c r="N57" s="67">
        <v>0</v>
      </c>
      <c r="O57" s="35">
        <v>861</v>
      </c>
      <c r="P57" s="67">
        <v>0</v>
      </c>
      <c r="Q57" s="223">
        <v>77</v>
      </c>
      <c r="R57" s="227">
        <v>376</v>
      </c>
      <c r="S57" s="225">
        <v>110</v>
      </c>
      <c r="T57" s="224">
        <v>298</v>
      </c>
      <c r="U57" s="37">
        <v>861</v>
      </c>
      <c r="V57" s="37">
        <v>0</v>
      </c>
      <c r="AE57" s="225">
        <v>567</v>
      </c>
      <c r="AF57" s="224">
        <v>294</v>
      </c>
      <c r="AG57" s="80">
        <v>861</v>
      </c>
      <c r="AH57" s="80">
        <v>0</v>
      </c>
    </row>
    <row r="58" spans="1:34" outlineLevel="1" x14ac:dyDescent="0.2">
      <c r="A58" s="141" t="s">
        <v>148</v>
      </c>
      <c r="B58" s="82" t="s">
        <v>149</v>
      </c>
      <c r="C58" s="83">
        <v>0</v>
      </c>
      <c r="D58" s="84">
        <v>903</v>
      </c>
      <c r="E58" s="85">
        <v>595</v>
      </c>
      <c r="F58" s="86">
        <v>308</v>
      </c>
      <c r="G58" s="87">
        <v>144</v>
      </c>
      <c r="H58" s="88">
        <v>216</v>
      </c>
      <c r="I58" s="88">
        <v>255</v>
      </c>
      <c r="J58" s="88">
        <v>215</v>
      </c>
      <c r="K58" s="89">
        <v>73</v>
      </c>
      <c r="L58" s="90"/>
      <c r="M58" s="35">
        <v>903</v>
      </c>
      <c r="N58" s="67">
        <v>0</v>
      </c>
      <c r="O58" s="35">
        <v>903</v>
      </c>
      <c r="P58" s="67">
        <v>0</v>
      </c>
      <c r="Q58" s="85">
        <v>92</v>
      </c>
      <c r="R58" s="89">
        <v>247</v>
      </c>
      <c r="S58" s="87">
        <v>216</v>
      </c>
      <c r="T58" s="86">
        <v>348</v>
      </c>
      <c r="U58" s="37">
        <v>903</v>
      </c>
      <c r="V58" s="37">
        <v>0</v>
      </c>
      <c r="AE58" s="87">
        <v>697</v>
      </c>
      <c r="AF58" s="86">
        <v>206</v>
      </c>
      <c r="AG58" s="80">
        <v>903</v>
      </c>
      <c r="AH58" s="80">
        <v>0</v>
      </c>
    </row>
    <row r="59" spans="1:34" outlineLevel="1" x14ac:dyDescent="0.2">
      <c r="A59" s="229" t="s">
        <v>150</v>
      </c>
      <c r="B59" s="230" t="s">
        <v>151</v>
      </c>
      <c r="C59" s="231">
        <v>22</v>
      </c>
      <c r="D59" s="232">
        <v>24</v>
      </c>
      <c r="E59" s="233">
        <v>21</v>
      </c>
      <c r="F59" s="234">
        <v>3</v>
      </c>
      <c r="G59" s="235">
        <v>3</v>
      </c>
      <c r="H59" s="236">
        <v>8</v>
      </c>
      <c r="I59" s="236">
        <v>12</v>
      </c>
      <c r="J59" s="236">
        <v>1</v>
      </c>
      <c r="K59" s="237">
        <v>0</v>
      </c>
      <c r="L59" s="238">
        <v>-2</v>
      </c>
      <c r="M59" s="35">
        <v>24</v>
      </c>
      <c r="N59" s="67">
        <v>0</v>
      </c>
      <c r="O59" s="35">
        <v>24</v>
      </c>
      <c r="P59" s="67">
        <v>0</v>
      </c>
      <c r="Q59" s="233">
        <v>0</v>
      </c>
      <c r="R59" s="237">
        <v>9</v>
      </c>
      <c r="S59" s="235">
        <v>3</v>
      </c>
      <c r="T59" s="234">
        <v>12</v>
      </c>
      <c r="U59" s="37">
        <v>24</v>
      </c>
      <c r="V59" s="37">
        <v>0</v>
      </c>
      <c r="AE59" s="235">
        <v>17</v>
      </c>
      <c r="AF59" s="234">
        <v>7</v>
      </c>
      <c r="AG59" s="80">
        <v>24</v>
      </c>
      <c r="AH59" s="80">
        <v>0</v>
      </c>
    </row>
    <row r="60" spans="1:34" outlineLevel="1" x14ac:dyDescent="0.2">
      <c r="A60" s="218" t="s">
        <v>152</v>
      </c>
      <c r="B60" s="114" t="s">
        <v>153</v>
      </c>
      <c r="C60" s="115">
        <v>294</v>
      </c>
      <c r="D60" s="116">
        <v>306</v>
      </c>
      <c r="E60" s="117">
        <v>243</v>
      </c>
      <c r="F60" s="118">
        <v>63</v>
      </c>
      <c r="G60" s="119">
        <v>32</v>
      </c>
      <c r="H60" s="120">
        <v>107</v>
      </c>
      <c r="I60" s="120">
        <v>77</v>
      </c>
      <c r="J60" s="120">
        <v>54</v>
      </c>
      <c r="K60" s="121">
        <v>36</v>
      </c>
      <c r="L60" s="122">
        <v>-12</v>
      </c>
      <c r="M60" s="35">
        <v>306</v>
      </c>
      <c r="N60" s="67">
        <v>0</v>
      </c>
      <c r="O60" s="35">
        <v>306</v>
      </c>
      <c r="P60" s="67">
        <v>0</v>
      </c>
      <c r="Q60" s="117">
        <v>31</v>
      </c>
      <c r="R60" s="121">
        <v>96</v>
      </c>
      <c r="S60" s="119">
        <v>32</v>
      </c>
      <c r="T60" s="118">
        <v>147</v>
      </c>
      <c r="U60" s="37">
        <v>306</v>
      </c>
      <c r="V60" s="37">
        <v>0</v>
      </c>
      <c r="AE60" s="119">
        <v>194</v>
      </c>
      <c r="AF60" s="118">
        <v>112</v>
      </c>
      <c r="AG60" s="80">
        <v>306</v>
      </c>
      <c r="AH60" s="80">
        <v>0</v>
      </c>
    </row>
    <row r="61" spans="1:34" ht="15" x14ac:dyDescent="0.25">
      <c r="A61" s="123" t="s">
        <v>154</v>
      </c>
      <c r="B61" s="124" t="s">
        <v>145</v>
      </c>
      <c r="C61" s="125">
        <v>1651</v>
      </c>
      <c r="D61" s="125">
        <v>2094</v>
      </c>
      <c r="E61" s="125">
        <v>1533</v>
      </c>
      <c r="F61" s="125">
        <v>561</v>
      </c>
      <c r="G61" s="125">
        <v>386</v>
      </c>
      <c r="H61" s="125">
        <v>599</v>
      </c>
      <c r="I61" s="125">
        <v>553</v>
      </c>
      <c r="J61" s="125">
        <v>419</v>
      </c>
      <c r="K61" s="126">
        <v>137</v>
      </c>
      <c r="L61" s="127">
        <v>-443</v>
      </c>
      <c r="M61" s="35">
        <v>2094</v>
      </c>
      <c r="N61" s="67">
        <v>0</v>
      </c>
      <c r="O61" s="35">
        <v>2094</v>
      </c>
      <c r="P61" s="67">
        <v>0</v>
      </c>
      <c r="Q61" s="125">
        <v>200</v>
      </c>
      <c r="R61" s="126">
        <v>728</v>
      </c>
      <c r="S61" s="128">
        <v>361</v>
      </c>
      <c r="T61" s="125">
        <v>805</v>
      </c>
      <c r="U61" s="37">
        <v>2094</v>
      </c>
      <c r="V61" s="37">
        <v>0</v>
      </c>
      <c r="AE61" s="128">
        <v>1475</v>
      </c>
      <c r="AF61" s="129">
        <v>619</v>
      </c>
      <c r="AG61" s="80">
        <v>2094</v>
      </c>
      <c r="AH61" s="80">
        <v>0</v>
      </c>
    </row>
    <row r="62" spans="1:34" ht="15" outlineLevel="1" x14ac:dyDescent="0.25">
      <c r="A62" s="62" t="s">
        <v>155</v>
      </c>
      <c r="B62" s="63" t="s">
        <v>156</v>
      </c>
      <c r="C62" s="64"/>
      <c r="D62" s="65"/>
      <c r="E62" s="65"/>
      <c r="F62" s="65"/>
      <c r="G62" s="65"/>
      <c r="H62" s="65"/>
      <c r="I62" s="65"/>
      <c r="J62" s="65"/>
      <c r="K62" s="65"/>
      <c r="L62" s="66"/>
      <c r="M62" s="35">
        <v>0</v>
      </c>
      <c r="N62" s="67">
        <v>0</v>
      </c>
      <c r="O62" s="35">
        <v>0</v>
      </c>
      <c r="P62" s="67">
        <v>0</v>
      </c>
      <c r="Q62" s="65"/>
      <c r="R62" s="65"/>
      <c r="S62" s="68"/>
      <c r="T62" s="69"/>
      <c r="V62" s="37">
        <v>0</v>
      </c>
      <c r="AE62" s="68"/>
      <c r="AF62" s="69"/>
      <c r="AG62" s="80">
        <v>0</v>
      </c>
      <c r="AH62" s="80">
        <v>0</v>
      </c>
    </row>
    <row r="63" spans="1:34" ht="12.75" customHeight="1" outlineLevel="1" x14ac:dyDescent="0.2">
      <c r="A63" s="239" t="s">
        <v>157</v>
      </c>
      <c r="B63" s="71" t="s">
        <v>158</v>
      </c>
      <c r="C63" s="72">
        <v>17</v>
      </c>
      <c r="D63" s="73">
        <v>23</v>
      </c>
      <c r="E63" s="74">
        <v>16</v>
      </c>
      <c r="F63" s="75">
        <v>7</v>
      </c>
      <c r="G63" s="76">
        <v>2</v>
      </c>
      <c r="H63" s="77">
        <v>6</v>
      </c>
      <c r="I63" s="77">
        <v>6</v>
      </c>
      <c r="J63" s="77">
        <v>8</v>
      </c>
      <c r="K63" s="78">
        <v>1</v>
      </c>
      <c r="L63" s="79">
        <v>-6</v>
      </c>
      <c r="M63" s="35">
        <v>23</v>
      </c>
      <c r="N63" s="67">
        <v>0</v>
      </c>
      <c r="O63" s="35">
        <v>23</v>
      </c>
      <c r="P63" s="67">
        <v>0</v>
      </c>
      <c r="Q63" s="74">
        <v>2</v>
      </c>
      <c r="R63" s="78">
        <v>5</v>
      </c>
      <c r="S63" s="76">
        <v>5</v>
      </c>
      <c r="T63" s="75">
        <v>11</v>
      </c>
      <c r="U63" s="37">
        <v>23</v>
      </c>
      <c r="V63" s="37">
        <v>0</v>
      </c>
      <c r="AE63" s="76">
        <v>0</v>
      </c>
      <c r="AF63" s="75">
        <v>23</v>
      </c>
      <c r="AG63" s="80">
        <v>23</v>
      </c>
      <c r="AH63" s="80">
        <v>0</v>
      </c>
    </row>
    <row r="64" spans="1:34" ht="12.75" customHeight="1" outlineLevel="1" x14ac:dyDescent="0.2">
      <c r="A64" s="240" t="s">
        <v>159</v>
      </c>
      <c r="B64" s="132" t="s">
        <v>160</v>
      </c>
      <c r="C64" s="133">
        <v>23</v>
      </c>
      <c r="D64" s="134">
        <v>25</v>
      </c>
      <c r="E64" s="135">
        <v>7</v>
      </c>
      <c r="F64" s="136">
        <v>18</v>
      </c>
      <c r="G64" s="137">
        <v>4</v>
      </c>
      <c r="H64" s="138">
        <v>12</v>
      </c>
      <c r="I64" s="138">
        <v>9</v>
      </c>
      <c r="J64" s="138">
        <v>0</v>
      </c>
      <c r="K64" s="139">
        <v>0</v>
      </c>
      <c r="L64" s="140">
        <v>-2</v>
      </c>
      <c r="M64" s="35">
        <v>25</v>
      </c>
      <c r="N64" s="67">
        <v>0</v>
      </c>
      <c r="O64" s="35">
        <v>25</v>
      </c>
      <c r="P64" s="67">
        <v>0</v>
      </c>
      <c r="Q64" s="135">
        <v>11</v>
      </c>
      <c r="R64" s="139">
        <v>5</v>
      </c>
      <c r="S64" s="137">
        <v>7</v>
      </c>
      <c r="T64" s="136">
        <v>2</v>
      </c>
      <c r="U64" s="37">
        <v>25</v>
      </c>
      <c r="V64" s="37">
        <v>0</v>
      </c>
      <c r="AE64" s="137">
        <v>0</v>
      </c>
      <c r="AF64" s="136">
        <v>25</v>
      </c>
      <c r="AG64" s="80">
        <v>25</v>
      </c>
      <c r="AH64" s="80">
        <v>0</v>
      </c>
    </row>
    <row r="65" spans="1:34" ht="12.75" customHeight="1" outlineLevel="1" x14ac:dyDescent="0.2">
      <c r="A65" s="92" t="s">
        <v>161</v>
      </c>
      <c r="B65" s="82" t="s">
        <v>162</v>
      </c>
      <c r="C65" s="83">
        <v>42</v>
      </c>
      <c r="D65" s="84">
        <v>52</v>
      </c>
      <c r="E65" s="85">
        <v>48</v>
      </c>
      <c r="F65" s="86">
        <v>4</v>
      </c>
      <c r="G65" s="87">
        <v>9</v>
      </c>
      <c r="H65" s="88">
        <v>26</v>
      </c>
      <c r="I65" s="88">
        <v>13</v>
      </c>
      <c r="J65" s="88">
        <v>3</v>
      </c>
      <c r="K65" s="89">
        <v>1</v>
      </c>
      <c r="L65" s="90">
        <v>-10</v>
      </c>
      <c r="M65" s="35">
        <v>52</v>
      </c>
      <c r="N65" s="67">
        <v>0</v>
      </c>
      <c r="O65" s="35">
        <v>52</v>
      </c>
      <c r="P65" s="67">
        <v>0</v>
      </c>
      <c r="Q65" s="85">
        <v>3</v>
      </c>
      <c r="R65" s="89">
        <v>29</v>
      </c>
      <c r="S65" s="87">
        <v>1</v>
      </c>
      <c r="T65" s="86">
        <v>19</v>
      </c>
      <c r="U65" s="37">
        <v>52</v>
      </c>
      <c r="V65" s="37">
        <v>0</v>
      </c>
      <c r="AE65" s="87">
        <v>42</v>
      </c>
      <c r="AF65" s="86">
        <v>10</v>
      </c>
      <c r="AG65" s="80">
        <v>52</v>
      </c>
      <c r="AH65" s="80">
        <v>0</v>
      </c>
    </row>
    <row r="66" spans="1:34" outlineLevel="1" x14ac:dyDescent="0.2">
      <c r="A66" s="241" t="s">
        <v>163</v>
      </c>
      <c r="B66" s="114"/>
      <c r="C66" s="115">
        <v>0</v>
      </c>
      <c r="D66" s="116"/>
      <c r="E66" s="117"/>
      <c r="F66" s="118"/>
      <c r="G66" s="119">
        <v>0</v>
      </c>
      <c r="H66" s="120">
        <v>0</v>
      </c>
      <c r="I66" s="120">
        <v>0</v>
      </c>
      <c r="J66" s="120">
        <v>0</v>
      </c>
      <c r="K66" s="121">
        <v>0</v>
      </c>
      <c r="L66" s="122">
        <v>0</v>
      </c>
      <c r="M66" s="35">
        <v>0</v>
      </c>
      <c r="N66" s="67">
        <v>0</v>
      </c>
      <c r="O66" s="35">
        <v>0</v>
      </c>
      <c r="P66" s="67">
        <v>0</v>
      </c>
      <c r="Q66" s="117">
        <v>0</v>
      </c>
      <c r="R66" s="121">
        <v>0</v>
      </c>
      <c r="S66" s="119">
        <v>0</v>
      </c>
      <c r="T66" s="118">
        <v>0</v>
      </c>
      <c r="U66" s="37">
        <v>0</v>
      </c>
      <c r="V66" s="37">
        <v>0</v>
      </c>
      <c r="AE66" s="119">
        <v>0</v>
      </c>
      <c r="AF66" s="118">
        <v>0</v>
      </c>
      <c r="AG66" s="80">
        <v>0</v>
      </c>
      <c r="AH66" s="80">
        <v>0</v>
      </c>
    </row>
    <row r="67" spans="1:34" ht="15" x14ac:dyDescent="0.25">
      <c r="A67" s="123" t="s">
        <v>164</v>
      </c>
      <c r="B67" s="124" t="s">
        <v>156</v>
      </c>
      <c r="C67" s="125">
        <v>82</v>
      </c>
      <c r="D67" s="125">
        <v>100</v>
      </c>
      <c r="E67" s="125">
        <v>71</v>
      </c>
      <c r="F67" s="125">
        <v>29</v>
      </c>
      <c r="G67" s="125">
        <v>15</v>
      </c>
      <c r="H67" s="125">
        <v>44</v>
      </c>
      <c r="I67" s="125">
        <v>28</v>
      </c>
      <c r="J67" s="125">
        <v>11</v>
      </c>
      <c r="K67" s="126">
        <v>2</v>
      </c>
      <c r="L67" s="127">
        <v>-18</v>
      </c>
      <c r="M67" s="35">
        <v>100</v>
      </c>
      <c r="N67" s="67">
        <v>0</v>
      </c>
      <c r="O67" s="35">
        <v>100</v>
      </c>
      <c r="P67" s="67">
        <v>0</v>
      </c>
      <c r="Q67" s="125">
        <v>16</v>
      </c>
      <c r="R67" s="126">
        <v>39</v>
      </c>
      <c r="S67" s="128">
        <v>13</v>
      </c>
      <c r="T67" s="125">
        <v>32</v>
      </c>
      <c r="U67" s="37">
        <v>100</v>
      </c>
      <c r="V67" s="37">
        <v>0</v>
      </c>
      <c r="AE67" s="128">
        <v>42</v>
      </c>
      <c r="AF67" s="129">
        <v>58</v>
      </c>
      <c r="AG67" s="80">
        <v>100</v>
      </c>
      <c r="AH67" s="80">
        <v>0</v>
      </c>
    </row>
    <row r="68" spans="1:34" ht="15" outlineLevel="1" x14ac:dyDescent="0.25">
      <c r="A68" s="62" t="s">
        <v>165</v>
      </c>
      <c r="B68" s="63" t="s">
        <v>166</v>
      </c>
      <c r="C68" s="64"/>
      <c r="D68" s="65"/>
      <c r="E68" s="65"/>
      <c r="F68" s="65"/>
      <c r="G68" s="65"/>
      <c r="H68" s="65"/>
      <c r="I68" s="65"/>
      <c r="J68" s="65"/>
      <c r="K68" s="65"/>
      <c r="L68" s="66"/>
      <c r="M68" s="35">
        <v>0</v>
      </c>
      <c r="N68" s="67">
        <v>0</v>
      </c>
      <c r="O68" s="35">
        <v>0</v>
      </c>
      <c r="P68" s="67">
        <v>0</v>
      </c>
      <c r="Q68" s="65"/>
      <c r="R68" s="65"/>
      <c r="S68" s="68"/>
      <c r="T68" s="69"/>
      <c r="V68" s="37">
        <v>0</v>
      </c>
      <c r="AE68" s="68"/>
      <c r="AF68" s="69"/>
      <c r="AG68" s="80">
        <v>0</v>
      </c>
      <c r="AH68" s="80">
        <v>0</v>
      </c>
    </row>
    <row r="69" spans="1:34" s="179" customFormat="1" outlineLevel="1" x14ac:dyDescent="0.2">
      <c r="A69" s="242" t="s">
        <v>167</v>
      </c>
      <c r="B69" s="243" t="s">
        <v>168</v>
      </c>
      <c r="C69" s="244">
        <v>119</v>
      </c>
      <c r="D69" s="245">
        <v>35</v>
      </c>
      <c r="E69" s="246">
        <v>32</v>
      </c>
      <c r="F69" s="247">
        <v>3</v>
      </c>
      <c r="G69" s="248">
        <v>0</v>
      </c>
      <c r="H69" s="249">
        <v>10</v>
      </c>
      <c r="I69" s="249">
        <v>12</v>
      </c>
      <c r="J69" s="249">
        <v>12</v>
      </c>
      <c r="K69" s="250">
        <v>1</v>
      </c>
      <c r="L69" s="79">
        <v>84</v>
      </c>
      <c r="M69" s="42">
        <v>35</v>
      </c>
      <c r="N69" s="178">
        <v>0</v>
      </c>
      <c r="O69" s="42">
        <v>35</v>
      </c>
      <c r="P69" s="178">
        <v>0</v>
      </c>
      <c r="Q69" s="246">
        <v>1</v>
      </c>
      <c r="R69" s="250">
        <v>6</v>
      </c>
      <c r="S69" s="248">
        <v>2</v>
      </c>
      <c r="T69" s="247">
        <v>26</v>
      </c>
      <c r="U69" s="37">
        <v>35</v>
      </c>
      <c r="V69" s="37">
        <v>0</v>
      </c>
      <c r="AE69" s="248">
        <v>15</v>
      </c>
      <c r="AF69" s="247">
        <v>20</v>
      </c>
      <c r="AG69" s="80">
        <v>35</v>
      </c>
      <c r="AH69" s="80">
        <v>0</v>
      </c>
    </row>
    <row r="70" spans="1:34" outlineLevel="1" x14ac:dyDescent="0.2">
      <c r="A70" s="141" t="s">
        <v>169</v>
      </c>
      <c r="B70" s="82" t="s">
        <v>170</v>
      </c>
      <c r="C70" s="83">
        <v>165</v>
      </c>
      <c r="D70" s="84">
        <v>152</v>
      </c>
      <c r="E70" s="85">
        <v>126</v>
      </c>
      <c r="F70" s="86">
        <v>26</v>
      </c>
      <c r="G70" s="87">
        <v>9</v>
      </c>
      <c r="H70" s="88">
        <v>28</v>
      </c>
      <c r="I70" s="88">
        <v>43</v>
      </c>
      <c r="J70" s="88">
        <v>43</v>
      </c>
      <c r="K70" s="89">
        <v>29</v>
      </c>
      <c r="L70" s="90">
        <v>13</v>
      </c>
      <c r="M70" s="35">
        <v>152</v>
      </c>
      <c r="N70" s="67">
        <v>0</v>
      </c>
      <c r="O70" s="35">
        <v>152</v>
      </c>
      <c r="P70" s="67">
        <v>0</v>
      </c>
      <c r="Q70" s="85">
        <v>5</v>
      </c>
      <c r="R70" s="89">
        <v>30</v>
      </c>
      <c r="S70" s="87">
        <v>21</v>
      </c>
      <c r="T70" s="86">
        <v>96</v>
      </c>
      <c r="U70" s="37">
        <v>152</v>
      </c>
      <c r="V70" s="37">
        <v>0</v>
      </c>
      <c r="AE70" s="87">
        <v>102</v>
      </c>
      <c r="AF70" s="86">
        <v>50</v>
      </c>
      <c r="AG70" s="80">
        <v>152</v>
      </c>
      <c r="AH70" s="80">
        <v>0</v>
      </c>
    </row>
    <row r="71" spans="1:34" outlineLevel="1" x14ac:dyDescent="0.2">
      <c r="A71" s="251" t="s">
        <v>171</v>
      </c>
      <c r="B71" s="114" t="s">
        <v>172</v>
      </c>
      <c r="C71" s="115">
        <v>319</v>
      </c>
      <c r="D71" s="116">
        <v>365</v>
      </c>
      <c r="E71" s="117">
        <v>326</v>
      </c>
      <c r="F71" s="118">
        <v>39</v>
      </c>
      <c r="G71" s="119">
        <v>20</v>
      </c>
      <c r="H71" s="120">
        <v>94</v>
      </c>
      <c r="I71" s="120">
        <v>114</v>
      </c>
      <c r="J71" s="120">
        <v>111</v>
      </c>
      <c r="K71" s="121">
        <v>26</v>
      </c>
      <c r="L71" s="122">
        <v>-46</v>
      </c>
      <c r="M71" s="35">
        <v>365</v>
      </c>
      <c r="N71" s="67">
        <v>0</v>
      </c>
      <c r="O71" s="35">
        <v>365</v>
      </c>
      <c r="P71" s="67">
        <v>0</v>
      </c>
      <c r="Q71" s="117">
        <v>21</v>
      </c>
      <c r="R71" s="121">
        <v>86</v>
      </c>
      <c r="S71" s="119">
        <v>18</v>
      </c>
      <c r="T71" s="118">
        <v>240</v>
      </c>
      <c r="U71" s="37">
        <v>365</v>
      </c>
      <c r="V71" s="37">
        <v>0</v>
      </c>
      <c r="AE71" s="119">
        <v>304</v>
      </c>
      <c r="AF71" s="118">
        <v>61</v>
      </c>
      <c r="AG71" s="80">
        <v>365</v>
      </c>
      <c r="AH71" s="80">
        <v>0</v>
      </c>
    </row>
    <row r="72" spans="1:34" ht="15" x14ac:dyDescent="0.25">
      <c r="A72" s="123" t="s">
        <v>173</v>
      </c>
      <c r="B72" s="124" t="s">
        <v>166</v>
      </c>
      <c r="C72" s="125">
        <v>603</v>
      </c>
      <c r="D72" s="125">
        <v>552</v>
      </c>
      <c r="E72" s="125">
        <v>484</v>
      </c>
      <c r="F72" s="125">
        <v>68</v>
      </c>
      <c r="G72" s="125">
        <v>29</v>
      </c>
      <c r="H72" s="125">
        <v>132</v>
      </c>
      <c r="I72" s="125">
        <v>169</v>
      </c>
      <c r="J72" s="125">
        <v>166</v>
      </c>
      <c r="K72" s="126">
        <v>56</v>
      </c>
      <c r="L72" s="127">
        <v>51</v>
      </c>
      <c r="M72" s="35">
        <v>552</v>
      </c>
      <c r="N72" s="67">
        <v>0</v>
      </c>
      <c r="O72" s="35">
        <v>552</v>
      </c>
      <c r="P72" s="67">
        <v>0</v>
      </c>
      <c r="Q72" s="125">
        <v>27</v>
      </c>
      <c r="R72" s="126">
        <v>122</v>
      </c>
      <c r="S72" s="128">
        <v>41</v>
      </c>
      <c r="T72" s="125">
        <v>362</v>
      </c>
      <c r="U72" s="37">
        <v>552</v>
      </c>
      <c r="V72" s="37">
        <v>0</v>
      </c>
      <c r="AE72" s="128">
        <v>421</v>
      </c>
      <c r="AF72" s="129">
        <v>131</v>
      </c>
      <c r="AG72" s="80">
        <v>552</v>
      </c>
      <c r="AH72" s="80">
        <v>0</v>
      </c>
    </row>
    <row r="73" spans="1:34" ht="15" outlineLevel="1" x14ac:dyDescent="0.25">
      <c r="A73" s="62" t="s">
        <v>174</v>
      </c>
      <c r="B73" s="63" t="s">
        <v>175</v>
      </c>
      <c r="C73" s="64"/>
      <c r="D73" s="65"/>
      <c r="E73" s="65"/>
      <c r="F73" s="65"/>
      <c r="G73" s="65"/>
      <c r="H73" s="65"/>
      <c r="I73" s="65"/>
      <c r="J73" s="65"/>
      <c r="K73" s="65"/>
      <c r="L73" s="66"/>
      <c r="M73" s="35">
        <v>0</v>
      </c>
      <c r="N73" s="67">
        <v>0</v>
      </c>
      <c r="O73" s="35">
        <v>0</v>
      </c>
      <c r="P73" s="67">
        <v>0</v>
      </c>
      <c r="Q73" s="65"/>
      <c r="R73" s="65"/>
      <c r="S73" s="68"/>
      <c r="T73" s="69"/>
      <c r="V73" s="37">
        <v>0</v>
      </c>
      <c r="AE73" s="68"/>
      <c r="AF73" s="69"/>
      <c r="AG73" s="80">
        <v>0</v>
      </c>
      <c r="AH73" s="80">
        <v>0</v>
      </c>
    </row>
    <row r="74" spans="1:34" outlineLevel="1" x14ac:dyDescent="0.2">
      <c r="A74" s="130" t="s">
        <v>176</v>
      </c>
      <c r="B74" s="71" t="s">
        <v>177</v>
      </c>
      <c r="C74" s="72">
        <v>0</v>
      </c>
      <c r="D74" s="73">
        <v>0</v>
      </c>
      <c r="E74" s="74"/>
      <c r="F74" s="75"/>
      <c r="G74" s="76">
        <v>0</v>
      </c>
      <c r="H74" s="77">
        <v>0</v>
      </c>
      <c r="I74" s="77">
        <v>0</v>
      </c>
      <c r="J74" s="77">
        <v>0</v>
      </c>
      <c r="K74" s="78">
        <v>0</v>
      </c>
      <c r="L74" s="79">
        <v>0</v>
      </c>
      <c r="M74" s="35">
        <v>0</v>
      </c>
      <c r="N74" s="67">
        <v>0</v>
      </c>
      <c r="O74" s="35">
        <v>0</v>
      </c>
      <c r="P74" s="67">
        <v>0</v>
      </c>
      <c r="Q74" s="74">
        <v>0</v>
      </c>
      <c r="R74" s="78">
        <v>0</v>
      </c>
      <c r="S74" s="76">
        <v>0</v>
      </c>
      <c r="T74" s="75">
        <v>0</v>
      </c>
      <c r="U74" s="37">
        <v>0</v>
      </c>
      <c r="V74" s="37">
        <v>0</v>
      </c>
      <c r="AE74" s="76">
        <v>0</v>
      </c>
      <c r="AF74" s="75">
        <v>0</v>
      </c>
      <c r="AG74" s="80">
        <v>0</v>
      </c>
      <c r="AH74" s="80">
        <v>0</v>
      </c>
    </row>
    <row r="75" spans="1:34" outlineLevel="1" x14ac:dyDescent="0.2">
      <c r="A75" s="81" t="s">
        <v>178</v>
      </c>
      <c r="B75" s="82" t="s">
        <v>179</v>
      </c>
      <c r="C75" s="83">
        <v>0</v>
      </c>
      <c r="D75" s="84">
        <v>0</v>
      </c>
      <c r="E75" s="85"/>
      <c r="F75" s="86"/>
      <c r="G75" s="87">
        <v>0</v>
      </c>
      <c r="H75" s="88">
        <v>0</v>
      </c>
      <c r="I75" s="88">
        <v>0</v>
      </c>
      <c r="J75" s="88">
        <v>0</v>
      </c>
      <c r="K75" s="89">
        <v>0</v>
      </c>
      <c r="L75" s="90">
        <v>0</v>
      </c>
      <c r="M75" s="35">
        <v>0</v>
      </c>
      <c r="N75" s="67">
        <v>0</v>
      </c>
      <c r="O75" s="35">
        <v>0</v>
      </c>
      <c r="P75" s="67">
        <v>0</v>
      </c>
      <c r="Q75" s="85">
        <v>0</v>
      </c>
      <c r="R75" s="89">
        <v>0</v>
      </c>
      <c r="S75" s="87">
        <v>0</v>
      </c>
      <c r="T75" s="86">
        <v>0</v>
      </c>
      <c r="U75" s="37">
        <v>0</v>
      </c>
      <c r="V75" s="37">
        <v>0</v>
      </c>
      <c r="AE75" s="87">
        <v>0</v>
      </c>
      <c r="AF75" s="86">
        <v>0</v>
      </c>
      <c r="AG75" s="80">
        <v>0</v>
      </c>
      <c r="AH75" s="80">
        <v>0</v>
      </c>
    </row>
    <row r="76" spans="1:34" outlineLevel="1" x14ac:dyDescent="0.2">
      <c r="A76" s="113" t="s">
        <v>180</v>
      </c>
      <c r="B76" s="114"/>
      <c r="C76" s="115">
        <v>0</v>
      </c>
      <c r="D76" s="116"/>
      <c r="E76" s="117"/>
      <c r="F76" s="118"/>
      <c r="G76" s="119">
        <v>0</v>
      </c>
      <c r="H76" s="120">
        <v>0</v>
      </c>
      <c r="I76" s="120">
        <v>0</v>
      </c>
      <c r="J76" s="120">
        <v>0</v>
      </c>
      <c r="K76" s="121">
        <v>0</v>
      </c>
      <c r="L76" s="122">
        <v>0</v>
      </c>
      <c r="M76" s="35">
        <v>0</v>
      </c>
      <c r="N76" s="67">
        <v>0</v>
      </c>
      <c r="O76" s="35">
        <v>0</v>
      </c>
      <c r="P76" s="67">
        <v>0</v>
      </c>
      <c r="Q76" s="117">
        <v>0</v>
      </c>
      <c r="R76" s="121">
        <v>0</v>
      </c>
      <c r="S76" s="119">
        <v>0</v>
      </c>
      <c r="T76" s="118">
        <v>0</v>
      </c>
      <c r="U76" s="37">
        <v>0</v>
      </c>
      <c r="V76" s="37">
        <v>0</v>
      </c>
      <c r="AE76" s="119">
        <v>0</v>
      </c>
      <c r="AF76" s="118">
        <v>0</v>
      </c>
      <c r="AG76" s="80">
        <v>0</v>
      </c>
      <c r="AH76" s="80">
        <v>0</v>
      </c>
    </row>
    <row r="77" spans="1:34" ht="15" x14ac:dyDescent="0.25">
      <c r="A77" s="123" t="s">
        <v>181</v>
      </c>
      <c r="B77" s="124" t="s">
        <v>175</v>
      </c>
      <c r="C77" s="125">
        <v>0</v>
      </c>
      <c r="D77" s="125">
        <v>0</v>
      </c>
      <c r="E77" s="125">
        <v>0</v>
      </c>
      <c r="F77" s="125">
        <v>0</v>
      </c>
      <c r="G77" s="125">
        <v>0</v>
      </c>
      <c r="H77" s="125">
        <v>0</v>
      </c>
      <c r="I77" s="125">
        <v>0</v>
      </c>
      <c r="J77" s="125">
        <v>0</v>
      </c>
      <c r="K77" s="126">
        <v>0</v>
      </c>
      <c r="L77" s="127">
        <v>0</v>
      </c>
      <c r="M77" s="35">
        <v>0</v>
      </c>
      <c r="N77" s="67">
        <v>0</v>
      </c>
      <c r="O77" s="35">
        <v>0</v>
      </c>
      <c r="P77" s="67">
        <v>0</v>
      </c>
      <c r="Q77" s="125">
        <v>0</v>
      </c>
      <c r="R77" s="126">
        <v>0</v>
      </c>
      <c r="S77" s="128">
        <v>0</v>
      </c>
      <c r="T77" s="125">
        <v>0</v>
      </c>
      <c r="U77" s="37">
        <v>0</v>
      </c>
      <c r="V77" s="37">
        <v>0</v>
      </c>
      <c r="AE77" s="128">
        <v>0</v>
      </c>
      <c r="AF77" s="129">
        <v>0</v>
      </c>
      <c r="AG77" s="80">
        <v>0</v>
      </c>
      <c r="AH77" s="80">
        <v>0</v>
      </c>
    </row>
    <row r="78" spans="1:34" ht="15" outlineLevel="1" x14ac:dyDescent="0.25">
      <c r="A78" s="62" t="s">
        <v>182</v>
      </c>
      <c r="B78" s="63" t="s">
        <v>183</v>
      </c>
      <c r="C78" s="64"/>
      <c r="D78" s="65"/>
      <c r="E78" s="65"/>
      <c r="F78" s="65"/>
      <c r="G78" s="65"/>
      <c r="H78" s="65"/>
      <c r="I78" s="65"/>
      <c r="J78" s="65"/>
      <c r="K78" s="65"/>
      <c r="L78" s="66"/>
      <c r="M78" s="35">
        <v>0</v>
      </c>
      <c r="N78" s="67">
        <v>0</v>
      </c>
      <c r="O78" s="35">
        <v>0</v>
      </c>
      <c r="P78" s="67">
        <v>0</v>
      </c>
      <c r="Q78" s="65"/>
      <c r="R78" s="65"/>
      <c r="S78" s="68"/>
      <c r="T78" s="69"/>
      <c r="V78" s="37">
        <v>0</v>
      </c>
      <c r="AE78" s="68"/>
      <c r="AF78" s="69"/>
      <c r="AG78" s="80">
        <v>0</v>
      </c>
      <c r="AH78" s="80">
        <v>0</v>
      </c>
    </row>
    <row r="79" spans="1:34" outlineLevel="1" x14ac:dyDescent="0.2">
      <c r="A79" s="252" t="s">
        <v>184</v>
      </c>
      <c r="B79" s="253" t="s">
        <v>185</v>
      </c>
      <c r="C79" s="254">
        <v>141</v>
      </c>
      <c r="D79" s="255">
        <v>152</v>
      </c>
      <c r="E79" s="256">
        <v>83</v>
      </c>
      <c r="F79" s="257">
        <v>69</v>
      </c>
      <c r="G79" s="258">
        <v>25</v>
      </c>
      <c r="H79" s="259">
        <v>36</v>
      </c>
      <c r="I79" s="259">
        <v>37</v>
      </c>
      <c r="J79" s="259">
        <v>47</v>
      </c>
      <c r="K79" s="260">
        <v>7</v>
      </c>
      <c r="L79" s="79">
        <v>-11</v>
      </c>
      <c r="M79" s="35">
        <v>152</v>
      </c>
      <c r="N79" s="67">
        <v>0</v>
      </c>
      <c r="O79" s="35">
        <v>152</v>
      </c>
      <c r="P79" s="67">
        <v>0</v>
      </c>
      <c r="Q79" s="256">
        <v>19</v>
      </c>
      <c r="R79" s="260">
        <v>39</v>
      </c>
      <c r="S79" s="258">
        <v>50</v>
      </c>
      <c r="T79" s="257">
        <v>44</v>
      </c>
      <c r="U79" s="37">
        <v>152</v>
      </c>
      <c r="V79" s="37">
        <v>0</v>
      </c>
      <c r="AE79" s="258">
        <v>61</v>
      </c>
      <c r="AF79" s="257">
        <v>91</v>
      </c>
      <c r="AG79" s="80">
        <v>152</v>
      </c>
      <c r="AH79" s="80">
        <v>0</v>
      </c>
    </row>
    <row r="80" spans="1:34" outlineLevel="1" x14ac:dyDescent="0.2">
      <c r="A80" s="91" t="s">
        <v>186</v>
      </c>
      <c r="B80" s="82" t="s">
        <v>187</v>
      </c>
      <c r="C80" s="83">
        <v>8</v>
      </c>
      <c r="D80" s="84">
        <v>7</v>
      </c>
      <c r="E80" s="85">
        <v>6</v>
      </c>
      <c r="F80" s="86">
        <v>1</v>
      </c>
      <c r="G80" s="87">
        <v>4</v>
      </c>
      <c r="H80" s="88">
        <v>2</v>
      </c>
      <c r="I80" s="88">
        <v>1</v>
      </c>
      <c r="J80" s="88">
        <v>0</v>
      </c>
      <c r="K80" s="89">
        <v>0</v>
      </c>
      <c r="L80" s="90">
        <v>1</v>
      </c>
      <c r="M80" s="35">
        <v>7</v>
      </c>
      <c r="N80" s="67">
        <v>0</v>
      </c>
      <c r="O80" s="35">
        <v>7</v>
      </c>
      <c r="P80" s="67">
        <v>0</v>
      </c>
      <c r="Q80" s="85">
        <v>1</v>
      </c>
      <c r="R80" s="89">
        <v>5</v>
      </c>
      <c r="S80" s="87">
        <v>0</v>
      </c>
      <c r="T80" s="86">
        <v>1</v>
      </c>
      <c r="U80" s="37">
        <v>7</v>
      </c>
      <c r="V80" s="37">
        <v>0</v>
      </c>
      <c r="AE80" s="87">
        <v>0</v>
      </c>
      <c r="AF80" s="86">
        <v>7</v>
      </c>
      <c r="AG80" s="80">
        <v>7</v>
      </c>
      <c r="AH80" s="80">
        <v>0</v>
      </c>
    </row>
    <row r="81" spans="1:34" outlineLevel="1" x14ac:dyDescent="0.2">
      <c r="A81" s="261" t="s">
        <v>188</v>
      </c>
      <c r="B81" s="262" t="s">
        <v>189</v>
      </c>
      <c r="C81" s="231">
        <v>99</v>
      </c>
      <c r="D81" s="232">
        <v>168</v>
      </c>
      <c r="E81" s="233">
        <v>136</v>
      </c>
      <c r="F81" s="263">
        <v>32</v>
      </c>
      <c r="G81" s="235">
        <v>101</v>
      </c>
      <c r="H81" s="233">
        <v>30</v>
      </c>
      <c r="I81" s="233">
        <v>19</v>
      </c>
      <c r="J81" s="233">
        <v>13</v>
      </c>
      <c r="K81" s="264">
        <v>5</v>
      </c>
      <c r="L81" s="238">
        <v>-69</v>
      </c>
      <c r="M81" s="35">
        <v>168</v>
      </c>
      <c r="N81" s="67">
        <v>0</v>
      </c>
      <c r="O81" s="35">
        <v>168</v>
      </c>
      <c r="P81" s="67">
        <v>0</v>
      </c>
      <c r="Q81" s="233">
        <v>14</v>
      </c>
      <c r="R81" s="264">
        <v>117</v>
      </c>
      <c r="S81" s="235">
        <v>18</v>
      </c>
      <c r="T81" s="263">
        <v>19</v>
      </c>
      <c r="U81" s="37">
        <v>168</v>
      </c>
      <c r="V81" s="37">
        <v>0</v>
      </c>
      <c r="AE81" s="235">
        <v>15</v>
      </c>
      <c r="AF81" s="234">
        <v>153</v>
      </c>
      <c r="AG81" s="80">
        <v>168</v>
      </c>
      <c r="AH81" s="80">
        <v>0</v>
      </c>
    </row>
    <row r="82" spans="1:34" outlineLevel="1" x14ac:dyDescent="0.2">
      <c r="A82" s="113" t="s">
        <v>190</v>
      </c>
      <c r="B82" s="265" t="s">
        <v>191</v>
      </c>
      <c r="C82" s="115">
        <v>0</v>
      </c>
      <c r="D82" s="116"/>
      <c r="E82" s="117"/>
      <c r="F82" s="266"/>
      <c r="G82" s="119">
        <v>0</v>
      </c>
      <c r="H82" s="117">
        <v>0</v>
      </c>
      <c r="I82" s="117">
        <v>0</v>
      </c>
      <c r="J82" s="117">
        <v>0</v>
      </c>
      <c r="K82" s="267">
        <v>0</v>
      </c>
      <c r="L82" s="122">
        <v>0</v>
      </c>
      <c r="M82" s="35">
        <v>0</v>
      </c>
      <c r="N82" s="67">
        <v>0</v>
      </c>
      <c r="O82" s="35">
        <v>0</v>
      </c>
      <c r="P82" s="67">
        <v>0</v>
      </c>
      <c r="Q82" s="117">
        <v>0</v>
      </c>
      <c r="R82" s="267">
        <v>0</v>
      </c>
      <c r="S82" s="119">
        <v>0</v>
      </c>
      <c r="T82" s="266">
        <v>0</v>
      </c>
      <c r="U82" s="37">
        <v>0</v>
      </c>
      <c r="V82" s="37">
        <v>0</v>
      </c>
      <c r="AE82" s="119">
        <v>0</v>
      </c>
      <c r="AF82" s="118">
        <v>0</v>
      </c>
      <c r="AG82" s="80">
        <v>0</v>
      </c>
      <c r="AH82" s="80">
        <v>0</v>
      </c>
    </row>
    <row r="83" spans="1:34" ht="14.25" customHeight="1" x14ac:dyDescent="0.25">
      <c r="A83" s="123" t="s">
        <v>192</v>
      </c>
      <c r="B83" s="124" t="s">
        <v>183</v>
      </c>
      <c r="C83" s="125">
        <v>248</v>
      </c>
      <c r="D83" s="125">
        <v>327</v>
      </c>
      <c r="E83" s="125">
        <v>225</v>
      </c>
      <c r="F83" s="125">
        <v>102</v>
      </c>
      <c r="G83" s="125">
        <v>130</v>
      </c>
      <c r="H83" s="125">
        <v>68</v>
      </c>
      <c r="I83" s="125">
        <v>57</v>
      </c>
      <c r="J83" s="125">
        <v>60</v>
      </c>
      <c r="K83" s="126">
        <v>12</v>
      </c>
      <c r="L83" s="127">
        <v>-79</v>
      </c>
      <c r="M83" s="35">
        <v>327</v>
      </c>
      <c r="N83" s="67">
        <v>0</v>
      </c>
      <c r="O83" s="35">
        <v>327</v>
      </c>
      <c r="P83" s="67">
        <v>0</v>
      </c>
      <c r="Q83" s="125">
        <v>34</v>
      </c>
      <c r="R83" s="126">
        <v>161</v>
      </c>
      <c r="S83" s="128">
        <v>68</v>
      </c>
      <c r="T83" s="125">
        <v>64</v>
      </c>
      <c r="U83" s="37">
        <v>327</v>
      </c>
      <c r="V83" s="37">
        <v>0</v>
      </c>
      <c r="AE83" s="128">
        <v>76</v>
      </c>
      <c r="AF83" s="129">
        <v>251</v>
      </c>
      <c r="AG83" s="80">
        <v>327</v>
      </c>
      <c r="AH83" s="80">
        <v>0</v>
      </c>
    </row>
    <row r="84" spans="1:34" ht="15" outlineLevel="1" x14ac:dyDescent="0.25">
      <c r="A84" s="62" t="s">
        <v>193</v>
      </c>
      <c r="B84" s="63" t="s">
        <v>194</v>
      </c>
      <c r="C84" s="64"/>
      <c r="D84" s="65"/>
      <c r="E84" s="65"/>
      <c r="F84" s="65"/>
      <c r="G84" s="65"/>
      <c r="H84" s="65"/>
      <c r="I84" s="65"/>
      <c r="J84" s="65"/>
      <c r="K84" s="65"/>
      <c r="L84" s="66"/>
      <c r="M84" s="35">
        <v>0</v>
      </c>
      <c r="N84" s="67">
        <v>0</v>
      </c>
      <c r="O84" s="35">
        <v>0</v>
      </c>
      <c r="P84" s="67">
        <v>0</v>
      </c>
      <c r="Q84" s="65"/>
      <c r="R84" s="65"/>
      <c r="S84" s="68"/>
      <c r="T84" s="69"/>
      <c r="V84" s="37">
        <v>0</v>
      </c>
      <c r="AE84" s="68"/>
      <c r="AF84" s="69"/>
      <c r="AG84" s="80">
        <v>0</v>
      </c>
      <c r="AH84" s="80">
        <v>0</v>
      </c>
    </row>
    <row r="85" spans="1:34" ht="12.75" customHeight="1" outlineLevel="1" x14ac:dyDescent="0.2">
      <c r="A85" s="239" t="s">
        <v>195</v>
      </c>
      <c r="B85" s="71" t="s">
        <v>196</v>
      </c>
      <c r="C85" s="72">
        <v>65</v>
      </c>
      <c r="D85" s="73">
        <v>75</v>
      </c>
      <c r="E85" s="74">
        <v>0</v>
      </c>
      <c r="F85" s="75">
        <v>75</v>
      </c>
      <c r="G85" s="76">
        <v>7</v>
      </c>
      <c r="H85" s="77">
        <v>27</v>
      </c>
      <c r="I85" s="77">
        <v>33</v>
      </c>
      <c r="J85" s="77">
        <v>8</v>
      </c>
      <c r="K85" s="78">
        <v>0</v>
      </c>
      <c r="L85" s="79">
        <v>-10</v>
      </c>
      <c r="M85" s="35">
        <v>75</v>
      </c>
      <c r="N85" s="67">
        <v>0</v>
      </c>
      <c r="O85" s="35">
        <v>75</v>
      </c>
      <c r="P85" s="67">
        <v>0</v>
      </c>
      <c r="Q85" s="74">
        <v>31</v>
      </c>
      <c r="R85" s="78">
        <v>0</v>
      </c>
      <c r="S85" s="76">
        <v>44</v>
      </c>
      <c r="T85" s="75">
        <v>0</v>
      </c>
      <c r="U85" s="37">
        <v>75</v>
      </c>
      <c r="V85" s="37">
        <v>0</v>
      </c>
      <c r="AE85" s="76">
        <v>0</v>
      </c>
      <c r="AF85" s="75">
        <v>75</v>
      </c>
      <c r="AG85" s="80">
        <v>75</v>
      </c>
      <c r="AH85" s="80">
        <v>0</v>
      </c>
    </row>
    <row r="86" spans="1:34" ht="12.75" customHeight="1" outlineLevel="1" x14ac:dyDescent="0.2">
      <c r="A86" s="240" t="s">
        <v>197</v>
      </c>
      <c r="B86" s="132" t="s">
        <v>198</v>
      </c>
      <c r="C86" s="133">
        <v>224</v>
      </c>
      <c r="D86" s="134">
        <v>263</v>
      </c>
      <c r="E86" s="135">
        <v>205</v>
      </c>
      <c r="F86" s="136">
        <v>58</v>
      </c>
      <c r="G86" s="137">
        <v>80</v>
      </c>
      <c r="H86" s="138">
        <v>98</v>
      </c>
      <c r="I86" s="138">
        <v>64</v>
      </c>
      <c r="J86" s="138">
        <v>16</v>
      </c>
      <c r="K86" s="139">
        <v>5</v>
      </c>
      <c r="L86" s="140">
        <v>-39</v>
      </c>
      <c r="M86" s="35">
        <v>263</v>
      </c>
      <c r="N86" s="67">
        <v>0</v>
      </c>
      <c r="O86" s="35">
        <v>263</v>
      </c>
      <c r="P86" s="67">
        <v>0</v>
      </c>
      <c r="Q86" s="135">
        <v>26</v>
      </c>
      <c r="R86" s="139">
        <v>141</v>
      </c>
      <c r="S86" s="137">
        <v>32</v>
      </c>
      <c r="T86" s="136">
        <v>64</v>
      </c>
      <c r="U86" s="37">
        <v>263</v>
      </c>
      <c r="V86" s="37">
        <v>0</v>
      </c>
      <c r="AE86" s="137">
        <v>0</v>
      </c>
      <c r="AF86" s="136">
        <v>263</v>
      </c>
      <c r="AG86" s="80">
        <v>263</v>
      </c>
      <c r="AH86" s="80">
        <v>0</v>
      </c>
    </row>
    <row r="87" spans="1:34" ht="12.75" customHeight="1" outlineLevel="1" x14ac:dyDescent="0.2">
      <c r="A87" s="92" t="s">
        <v>199</v>
      </c>
      <c r="B87" s="93" t="s">
        <v>200</v>
      </c>
      <c r="C87" s="94">
        <v>72</v>
      </c>
      <c r="D87" s="95">
        <v>65</v>
      </c>
      <c r="E87" s="96">
        <v>30</v>
      </c>
      <c r="F87" s="97">
        <v>35</v>
      </c>
      <c r="G87" s="98">
        <v>2</v>
      </c>
      <c r="H87" s="99">
        <v>16</v>
      </c>
      <c r="I87" s="99">
        <v>30</v>
      </c>
      <c r="J87" s="99">
        <v>15</v>
      </c>
      <c r="K87" s="100">
        <v>2</v>
      </c>
      <c r="L87" s="90">
        <v>7</v>
      </c>
      <c r="M87" s="35">
        <v>65</v>
      </c>
      <c r="N87" s="67">
        <v>0</v>
      </c>
      <c r="O87" s="35">
        <v>65</v>
      </c>
      <c r="P87" s="67">
        <v>0</v>
      </c>
      <c r="Q87" s="96">
        <v>4</v>
      </c>
      <c r="R87" s="100">
        <v>12</v>
      </c>
      <c r="S87" s="98">
        <v>31</v>
      </c>
      <c r="T87" s="97">
        <v>18</v>
      </c>
      <c r="U87" s="37">
        <v>65</v>
      </c>
      <c r="V87" s="37">
        <v>0</v>
      </c>
      <c r="AE87" s="98">
        <v>11</v>
      </c>
      <c r="AF87" s="97">
        <v>54</v>
      </c>
      <c r="AG87" s="80">
        <v>65</v>
      </c>
      <c r="AH87" s="80">
        <v>0</v>
      </c>
    </row>
    <row r="88" spans="1:34" ht="12.75" customHeight="1" outlineLevel="1" x14ac:dyDescent="0.2">
      <c r="A88" s="141" t="s">
        <v>201</v>
      </c>
      <c r="B88" s="82" t="s">
        <v>202</v>
      </c>
      <c r="C88" s="83">
        <v>3</v>
      </c>
      <c r="D88" s="84">
        <v>3</v>
      </c>
      <c r="E88" s="85">
        <v>2</v>
      </c>
      <c r="F88" s="86">
        <v>1</v>
      </c>
      <c r="G88" s="87">
        <v>0</v>
      </c>
      <c r="H88" s="88">
        <v>1</v>
      </c>
      <c r="I88" s="88">
        <v>2</v>
      </c>
      <c r="J88" s="88">
        <v>0</v>
      </c>
      <c r="K88" s="89">
        <v>0</v>
      </c>
      <c r="L88" s="90">
        <v>0</v>
      </c>
      <c r="M88" s="35">
        <v>3</v>
      </c>
      <c r="N88" s="67">
        <v>0</v>
      </c>
      <c r="O88" s="35">
        <v>3</v>
      </c>
      <c r="P88" s="67">
        <v>0</v>
      </c>
      <c r="Q88" s="85">
        <v>0</v>
      </c>
      <c r="R88" s="89">
        <v>1</v>
      </c>
      <c r="S88" s="87">
        <v>1</v>
      </c>
      <c r="T88" s="86">
        <v>1</v>
      </c>
      <c r="U88" s="37">
        <v>3</v>
      </c>
      <c r="V88" s="37">
        <v>0</v>
      </c>
      <c r="AE88" s="87">
        <v>0</v>
      </c>
      <c r="AF88" s="86">
        <v>3</v>
      </c>
      <c r="AG88" s="80">
        <v>3</v>
      </c>
      <c r="AH88" s="80">
        <v>0</v>
      </c>
    </row>
    <row r="89" spans="1:34" ht="12.75" customHeight="1" outlineLevel="1" x14ac:dyDescent="0.2">
      <c r="A89" s="92" t="s">
        <v>203</v>
      </c>
      <c r="B89" s="82" t="s">
        <v>204</v>
      </c>
      <c r="C89" s="83">
        <v>371</v>
      </c>
      <c r="D89" s="84">
        <v>423</v>
      </c>
      <c r="E89" s="85">
        <v>160</v>
      </c>
      <c r="F89" s="86">
        <v>263</v>
      </c>
      <c r="G89" s="87">
        <v>50</v>
      </c>
      <c r="H89" s="88">
        <v>169</v>
      </c>
      <c r="I89" s="88">
        <v>165</v>
      </c>
      <c r="J89" s="88">
        <v>38</v>
      </c>
      <c r="K89" s="89">
        <v>1</v>
      </c>
      <c r="L89" s="90">
        <v>-52</v>
      </c>
      <c r="M89" s="35">
        <v>423</v>
      </c>
      <c r="N89" s="67">
        <v>0</v>
      </c>
      <c r="O89" s="35">
        <v>423</v>
      </c>
      <c r="P89" s="67">
        <v>0</v>
      </c>
      <c r="Q89" s="85">
        <v>135</v>
      </c>
      <c r="R89" s="89">
        <v>73</v>
      </c>
      <c r="S89" s="87">
        <v>128</v>
      </c>
      <c r="T89" s="86">
        <v>87</v>
      </c>
      <c r="U89" s="37">
        <v>423</v>
      </c>
      <c r="V89" s="37">
        <v>0</v>
      </c>
      <c r="AE89" s="87">
        <v>15</v>
      </c>
      <c r="AF89" s="86">
        <v>408</v>
      </c>
      <c r="AG89" s="80">
        <v>423</v>
      </c>
      <c r="AH89" s="80">
        <v>0</v>
      </c>
    </row>
    <row r="90" spans="1:34" ht="12.75" customHeight="1" outlineLevel="1" x14ac:dyDescent="0.2">
      <c r="A90" s="261" t="s">
        <v>205</v>
      </c>
      <c r="B90" s="230" t="s">
        <v>206</v>
      </c>
      <c r="C90" s="231">
        <v>189</v>
      </c>
      <c r="D90" s="116">
        <v>213</v>
      </c>
      <c r="E90" s="117">
        <v>8</v>
      </c>
      <c r="F90" s="118">
        <v>205</v>
      </c>
      <c r="G90" s="119">
        <v>32</v>
      </c>
      <c r="H90" s="120">
        <v>90</v>
      </c>
      <c r="I90" s="120">
        <v>74</v>
      </c>
      <c r="J90" s="120">
        <v>17</v>
      </c>
      <c r="K90" s="121">
        <v>0</v>
      </c>
      <c r="L90" s="238">
        <v>-24</v>
      </c>
      <c r="M90" s="35">
        <v>213</v>
      </c>
      <c r="N90" s="67">
        <v>0</v>
      </c>
      <c r="O90" s="35">
        <v>213</v>
      </c>
      <c r="P90" s="67">
        <v>0</v>
      </c>
      <c r="Q90" s="117">
        <v>106</v>
      </c>
      <c r="R90" s="121">
        <v>7</v>
      </c>
      <c r="S90" s="119">
        <v>99</v>
      </c>
      <c r="T90" s="118">
        <v>1</v>
      </c>
      <c r="U90" s="37">
        <v>213</v>
      </c>
      <c r="V90" s="37">
        <v>0</v>
      </c>
      <c r="AE90" s="119">
        <v>3</v>
      </c>
      <c r="AF90" s="118">
        <v>210</v>
      </c>
      <c r="AG90" s="80">
        <v>213</v>
      </c>
      <c r="AH90" s="80">
        <v>0</v>
      </c>
    </row>
    <row r="91" spans="1:34" ht="15.75" thickBot="1" x14ac:dyDescent="0.3">
      <c r="A91" s="123" t="s">
        <v>207</v>
      </c>
      <c r="B91" s="124" t="s">
        <v>194</v>
      </c>
      <c r="C91" s="125">
        <v>924</v>
      </c>
      <c r="D91" s="125">
        <v>1042</v>
      </c>
      <c r="E91" s="125">
        <v>405</v>
      </c>
      <c r="F91" s="125">
        <v>637</v>
      </c>
      <c r="G91" s="125">
        <v>171</v>
      </c>
      <c r="H91" s="125">
        <v>401</v>
      </c>
      <c r="I91" s="125">
        <v>368</v>
      </c>
      <c r="J91" s="125">
        <v>94</v>
      </c>
      <c r="K91" s="126">
        <v>8</v>
      </c>
      <c r="L91" s="127">
        <v>-118</v>
      </c>
      <c r="M91" s="35">
        <v>1042</v>
      </c>
      <c r="N91" s="67">
        <v>0</v>
      </c>
      <c r="O91" s="35">
        <v>1042</v>
      </c>
      <c r="P91" s="67">
        <v>0</v>
      </c>
      <c r="Q91" s="125">
        <v>302</v>
      </c>
      <c r="R91" s="126">
        <v>234</v>
      </c>
      <c r="S91" s="128">
        <v>335</v>
      </c>
      <c r="T91" s="125">
        <v>171</v>
      </c>
      <c r="U91" s="37">
        <v>1042</v>
      </c>
      <c r="V91" s="37">
        <v>0</v>
      </c>
      <c r="AE91" s="128">
        <v>29</v>
      </c>
      <c r="AF91" s="129">
        <v>1013</v>
      </c>
      <c r="AG91" s="80">
        <v>1042</v>
      </c>
      <c r="AH91" s="80">
        <v>0</v>
      </c>
    </row>
    <row r="92" spans="1:34" ht="15.75" thickTop="1" x14ac:dyDescent="0.25">
      <c r="A92" s="268" t="s">
        <v>208</v>
      </c>
      <c r="B92" s="269" t="s">
        <v>209</v>
      </c>
      <c r="C92" s="270">
        <v>17209</v>
      </c>
      <c r="D92" s="270">
        <v>20140</v>
      </c>
      <c r="E92" s="270">
        <v>14080</v>
      </c>
      <c r="F92" s="270">
        <v>6060</v>
      </c>
      <c r="G92" s="270">
        <v>3283</v>
      </c>
      <c r="H92" s="270">
        <v>6367</v>
      </c>
      <c r="I92" s="270">
        <v>6015</v>
      </c>
      <c r="J92" s="270">
        <v>3321</v>
      </c>
      <c r="K92" s="271">
        <v>1156</v>
      </c>
      <c r="L92" s="272">
        <v>-2931</v>
      </c>
      <c r="M92" s="35">
        <v>20140</v>
      </c>
      <c r="N92" s="67">
        <v>0</v>
      </c>
      <c r="O92" s="35">
        <v>20142</v>
      </c>
      <c r="P92" s="67">
        <v>-2</v>
      </c>
      <c r="Q92" s="270">
        <v>2362.6755447941887</v>
      </c>
      <c r="R92" s="271">
        <v>6598.3244552058113</v>
      </c>
      <c r="S92" s="273">
        <v>3697.8571428571431</v>
      </c>
      <c r="T92" s="270">
        <v>7483.1428571428569</v>
      </c>
      <c r="U92" s="37">
        <v>20142</v>
      </c>
      <c r="V92" s="37">
        <v>2</v>
      </c>
      <c r="AE92" s="273">
        <v>12440</v>
      </c>
      <c r="AF92" s="274">
        <v>7700</v>
      </c>
      <c r="AG92" s="80">
        <v>20140</v>
      </c>
      <c r="AH92" s="80">
        <v>0</v>
      </c>
    </row>
    <row r="93" spans="1:34" s="281" customFormat="1" x14ac:dyDescent="0.2">
      <c r="A93" s="275" t="s">
        <v>210</v>
      </c>
      <c r="B93" s="276" t="s">
        <v>209</v>
      </c>
      <c r="C93" s="277"/>
      <c r="D93" s="277">
        <v>20095</v>
      </c>
      <c r="E93" s="277">
        <v>14042</v>
      </c>
      <c r="F93" s="277">
        <v>6053</v>
      </c>
      <c r="G93" s="277">
        <v>3282</v>
      </c>
      <c r="H93" s="277">
        <v>6355</v>
      </c>
      <c r="I93" s="277">
        <v>6001</v>
      </c>
      <c r="J93" s="277">
        <v>3304</v>
      </c>
      <c r="K93" s="277">
        <v>1155</v>
      </c>
      <c r="L93" s="278"/>
      <c r="M93" s="279"/>
      <c r="N93" s="280"/>
      <c r="O93" s="279"/>
      <c r="P93" s="280"/>
      <c r="Q93" s="277">
        <v>2360.6755447941887</v>
      </c>
      <c r="R93" s="277">
        <v>6591.3244552058113</v>
      </c>
      <c r="S93" s="277">
        <v>3692.8571428571431</v>
      </c>
      <c r="T93" s="277">
        <v>7452.1428571428569</v>
      </c>
      <c r="U93" s="277">
        <v>20097</v>
      </c>
      <c r="V93" s="277">
        <v>2</v>
      </c>
      <c r="W93" s="277">
        <v>0</v>
      </c>
      <c r="X93" s="277">
        <v>0</v>
      </c>
      <c r="Y93" s="277">
        <v>0</v>
      </c>
      <c r="Z93" s="277">
        <v>0</v>
      </c>
      <c r="AA93" s="277">
        <v>0</v>
      </c>
      <c r="AB93" s="277">
        <v>0</v>
      </c>
      <c r="AC93" s="277">
        <v>0</v>
      </c>
      <c r="AD93" s="277">
        <v>0</v>
      </c>
      <c r="AE93" s="277">
        <v>12420</v>
      </c>
      <c r="AF93" s="277">
        <v>7675</v>
      </c>
      <c r="AG93" s="80">
        <v>20095</v>
      </c>
      <c r="AH93" s="80">
        <v>0</v>
      </c>
    </row>
    <row r="94" spans="1:34" ht="15.75" x14ac:dyDescent="0.2">
      <c r="A94" s="282"/>
      <c r="B94" s="283"/>
      <c r="C94" s="283"/>
    </row>
    <row r="95" spans="1:34" ht="15.75" x14ac:dyDescent="0.2">
      <c r="A95" s="286"/>
      <c r="B95" s="283"/>
      <c r="C95" s="283"/>
    </row>
    <row r="96" spans="1:34" s="284" customFormat="1" ht="15.75" x14ac:dyDescent="0.2">
      <c r="A96" s="286"/>
      <c r="B96" s="283"/>
      <c r="C96" s="283"/>
      <c r="L96" s="285"/>
      <c r="M96" s="287"/>
      <c r="N96" s="287"/>
      <c r="O96" s="287"/>
      <c r="P96" s="287"/>
    </row>
  </sheetData>
  <autoFilter ref="A3:AJ93" xr:uid="{CB2E935C-1269-4EBA-A416-D3941C430369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Извещение</vt:lpstr>
      <vt:lpstr>Приложение№1</vt:lpstr>
      <vt:lpstr>страх риски</vt:lpstr>
      <vt:lpstr>справочно</vt:lpstr>
      <vt:lpstr>Извещение!_ftn1</vt:lpstr>
      <vt:lpstr>Извещение!_Toc133229008</vt:lpstr>
      <vt:lpstr>Извещение!Заголовки_для_печати</vt:lpstr>
      <vt:lpstr>Извещение!Область_печати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Slavkina</dc:creator>
  <cp:lastModifiedBy>Учаева Юлия Игоревна</cp:lastModifiedBy>
  <cp:lastPrinted>2024-10-17T10:45:09Z</cp:lastPrinted>
  <dcterms:created xsi:type="dcterms:W3CDTF">2023-07-20T08:06:40Z</dcterms:created>
  <dcterms:modified xsi:type="dcterms:W3CDTF">2025-06-06T11:56:21Z</dcterms:modified>
</cp:coreProperties>
</file>